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mo\Desktop\"/>
    </mc:Choice>
  </mc:AlternateContent>
  <xr:revisionPtr revIDLastSave="0" documentId="13_ncr:1_{26134C9D-14C2-44A2-BAC1-6F2BC92706EC}" xr6:coauthVersionLast="47" xr6:coauthVersionMax="47" xr10:uidLastSave="{00000000-0000-0000-0000-000000000000}"/>
  <bookViews>
    <workbookView xWindow="-120" yWindow="-120" windowWidth="20730" windowHeight="11160" xr2:uid="{0E7D092E-72DD-40A3-80A7-EC83F8163A4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1" i="1" l="1"/>
  <c r="P11" i="1" s="1"/>
  <c r="O11" i="1" s="1"/>
  <c r="N11" i="1" l="1"/>
  <c r="R12" i="1"/>
  <c r="P12" i="1" s="1"/>
  <c r="O12" i="1" s="1"/>
  <c r="R13" i="1" s="1"/>
  <c r="Q12" i="1"/>
  <c r="P13" i="1" l="1"/>
  <c r="N12" i="1"/>
  <c r="Q13" i="1" s="1"/>
  <c r="O13" i="1" l="1"/>
  <c r="R14" i="1" s="1"/>
  <c r="P14" i="1" s="1"/>
  <c r="O14" i="1" s="1"/>
  <c r="N13" i="1"/>
  <c r="Q14" i="1" s="1"/>
  <c r="N14" i="1" l="1"/>
  <c r="Q15" i="1" s="1"/>
  <c r="R15" i="1"/>
  <c r="P15" i="1" l="1"/>
  <c r="O15" i="1" s="1"/>
  <c r="R16" i="1" l="1"/>
  <c r="N15" i="1"/>
  <c r="Q16" i="1" s="1"/>
  <c r="P16" i="1" l="1"/>
  <c r="N16" i="1" l="1"/>
  <c r="Q17" i="1" s="1"/>
  <c r="O16" i="1"/>
  <c r="R17" i="1"/>
  <c r="P17" i="1" l="1"/>
  <c r="N17" i="1" l="1"/>
  <c r="Q18" i="1" s="1"/>
  <c r="O17" i="1"/>
  <c r="R18" i="1" s="1"/>
  <c r="P18" i="1" l="1"/>
  <c r="N18" i="1" l="1"/>
  <c r="Q19" i="1" s="1"/>
  <c r="O18" i="1"/>
  <c r="R19" i="1" s="1"/>
  <c r="P19" i="1" l="1"/>
  <c r="N19" i="1" l="1"/>
  <c r="Q20" i="1" s="1"/>
  <c r="O19" i="1"/>
  <c r="R20" i="1" s="1"/>
  <c r="P20" i="1" l="1"/>
  <c r="O20" i="1" s="1"/>
  <c r="N20" i="1" l="1"/>
  <c r="Q21" i="1" s="1"/>
  <c r="R21" i="1"/>
  <c r="P21" i="1" l="1"/>
  <c r="O21" i="1" l="1"/>
  <c r="R22" i="1" s="1"/>
  <c r="N21" i="1"/>
  <c r="Q22" i="1" s="1"/>
  <c r="P22" i="1" l="1"/>
  <c r="N22" i="1" l="1"/>
  <c r="Q23" i="1" s="1"/>
  <c r="O22" i="1"/>
  <c r="R23" i="1" s="1"/>
  <c r="P23" i="1" l="1"/>
  <c r="N23" i="1" l="1"/>
  <c r="Q24" i="1" s="1"/>
  <c r="O23" i="1"/>
  <c r="R24" i="1" s="1"/>
  <c r="P24" i="1" l="1"/>
  <c r="O24" i="1" l="1"/>
  <c r="R25" i="1" s="1"/>
  <c r="N24" i="1"/>
  <c r="Q25" i="1" s="1"/>
  <c r="P25" i="1" l="1"/>
  <c r="N25" i="1" l="1"/>
  <c r="Q26" i="1" s="1"/>
  <c r="O25" i="1"/>
  <c r="R26" i="1" s="1"/>
  <c r="P26" i="1" l="1"/>
  <c r="O26" i="1" l="1"/>
  <c r="R27" i="1" s="1"/>
  <c r="N26" i="1"/>
  <c r="Q27" i="1" s="1"/>
  <c r="P27" i="1" l="1"/>
  <c r="N27" i="1" l="1"/>
  <c r="Q28" i="1" s="1"/>
  <c r="O27" i="1"/>
  <c r="R28" i="1" s="1"/>
  <c r="P28" i="1" l="1"/>
  <c r="N28" i="1" l="1"/>
  <c r="Q29" i="1" s="1"/>
  <c r="O28" i="1"/>
  <c r="R29" i="1" s="1"/>
  <c r="P29" i="1" l="1"/>
  <c r="N29" i="1" l="1"/>
  <c r="Q30" i="1" s="1"/>
  <c r="O29" i="1"/>
  <c r="R30" i="1" s="1"/>
  <c r="P30" i="1" l="1"/>
  <c r="N30" i="1" l="1"/>
  <c r="Q31" i="1" s="1"/>
  <c r="O30" i="1"/>
  <c r="R31" i="1" s="1"/>
  <c r="P31" i="1" l="1"/>
  <c r="O31" i="1" l="1"/>
  <c r="R32" i="1" s="1"/>
  <c r="N31" i="1"/>
  <c r="Q32" i="1" s="1"/>
  <c r="P32" i="1" l="1"/>
  <c r="N32" i="1" l="1"/>
  <c r="Q33" i="1" s="1"/>
  <c r="O32" i="1"/>
  <c r="R33" i="1" s="1"/>
  <c r="P33" i="1" l="1"/>
  <c r="N33" i="1" l="1"/>
  <c r="Q34" i="1" s="1"/>
  <c r="O33" i="1"/>
  <c r="R34" i="1" s="1"/>
  <c r="P34" i="1" l="1"/>
  <c r="N34" i="1" l="1"/>
  <c r="Q35" i="1" s="1"/>
  <c r="O34" i="1"/>
  <c r="R35" i="1" s="1"/>
  <c r="P35" i="1" l="1"/>
  <c r="N35" i="1" l="1"/>
  <c r="Q36" i="1" s="1"/>
  <c r="O35" i="1"/>
  <c r="R36" i="1" s="1"/>
  <c r="P36" i="1" l="1"/>
  <c r="N36" i="1" l="1"/>
  <c r="Q37" i="1" s="1"/>
  <c r="O36" i="1"/>
  <c r="R37" i="1" s="1"/>
  <c r="P37" i="1" l="1"/>
  <c r="N37" i="1" l="1"/>
  <c r="Q38" i="1" s="1"/>
  <c r="O37" i="1"/>
  <c r="R38" i="1" s="1"/>
  <c r="P38" i="1" l="1"/>
  <c r="N38" i="1" l="1"/>
  <c r="Q39" i="1" s="1"/>
  <c r="O38" i="1"/>
  <c r="R39" i="1" s="1"/>
  <c r="P39" i="1" l="1"/>
  <c r="N39" i="1" l="1"/>
  <c r="Q40" i="1" s="1"/>
  <c r="O39" i="1"/>
  <c r="R40" i="1" s="1"/>
  <c r="P40" i="1" l="1"/>
  <c r="O40" i="1" l="1"/>
  <c r="R41" i="1" s="1"/>
  <c r="N40" i="1"/>
  <c r="Q41" i="1" s="1"/>
  <c r="P41" i="1" l="1"/>
  <c r="N41" i="1" l="1"/>
  <c r="Q42" i="1" s="1"/>
  <c r="O41" i="1"/>
  <c r="R42" i="1" s="1"/>
  <c r="P42" i="1" l="1"/>
  <c r="N42" i="1" l="1"/>
  <c r="Q43" i="1" s="1"/>
  <c r="O42" i="1"/>
  <c r="R43" i="1" s="1"/>
  <c r="P43" i="1" l="1"/>
  <c r="O43" i="1" l="1"/>
  <c r="R44" i="1" s="1"/>
  <c r="N43" i="1"/>
  <c r="Q44" i="1" s="1"/>
  <c r="P44" i="1" l="1"/>
  <c r="N44" i="1" l="1"/>
  <c r="Q45" i="1" s="1"/>
  <c r="O44" i="1"/>
  <c r="R45" i="1" s="1"/>
  <c r="P45" i="1" l="1"/>
  <c r="N45" i="1" l="1"/>
  <c r="Q46" i="1" s="1"/>
  <c r="O45" i="1"/>
  <c r="R46" i="1" s="1"/>
  <c r="P46" i="1" l="1"/>
  <c r="N46" i="1" l="1"/>
  <c r="Q47" i="1" s="1"/>
  <c r="O46" i="1"/>
  <c r="R47" i="1" s="1"/>
  <c r="P47" i="1" l="1"/>
  <c r="N47" i="1" l="1"/>
  <c r="Q48" i="1" s="1"/>
  <c r="O47" i="1"/>
  <c r="R48" i="1" s="1"/>
  <c r="P48" i="1" l="1"/>
  <c r="N48" i="1" l="1"/>
  <c r="Q49" i="1" s="1"/>
  <c r="O48" i="1"/>
  <c r="R49" i="1" s="1"/>
  <c r="P49" i="1" l="1"/>
  <c r="N49" i="1" l="1"/>
  <c r="Q50" i="1" s="1"/>
  <c r="O49" i="1"/>
  <c r="R50" i="1" s="1"/>
  <c r="P50" i="1" l="1"/>
  <c r="N50" i="1" l="1"/>
  <c r="Q51" i="1" s="1"/>
  <c r="O50" i="1"/>
  <c r="R51" i="1" s="1"/>
  <c r="P51" i="1" l="1"/>
  <c r="N51" i="1" l="1"/>
  <c r="Q52" i="1" s="1"/>
  <c r="O51" i="1"/>
  <c r="R52" i="1" s="1"/>
  <c r="P52" i="1" l="1"/>
  <c r="N52" i="1" l="1"/>
  <c r="Q53" i="1" s="1"/>
  <c r="O52" i="1"/>
  <c r="R53" i="1" s="1"/>
  <c r="P53" i="1" l="1"/>
  <c r="N53" i="1" l="1"/>
  <c r="Q54" i="1" s="1"/>
  <c r="O53" i="1"/>
  <c r="R54" i="1" s="1"/>
  <c r="P54" i="1" l="1"/>
  <c r="N54" i="1" l="1"/>
  <c r="Q55" i="1" s="1"/>
  <c r="O54" i="1"/>
  <c r="R55" i="1" s="1"/>
  <c r="P55" i="1" l="1"/>
  <c r="N55" i="1" l="1"/>
  <c r="Q56" i="1" s="1"/>
  <c r="O55" i="1"/>
  <c r="R56" i="1" s="1"/>
  <c r="P56" i="1" l="1"/>
  <c r="O56" i="1" l="1"/>
  <c r="R57" i="1" s="1"/>
  <c r="N56" i="1"/>
  <c r="Q57" i="1" s="1"/>
  <c r="P57" i="1" l="1"/>
  <c r="N57" i="1" l="1"/>
  <c r="Q58" i="1" s="1"/>
  <c r="O57" i="1"/>
  <c r="R58" i="1" s="1"/>
  <c r="P58" i="1" l="1"/>
  <c r="N58" i="1" l="1"/>
  <c r="Q59" i="1" s="1"/>
  <c r="O58" i="1"/>
  <c r="R59" i="1" s="1"/>
  <c r="P59" i="1" l="1"/>
  <c r="N59" i="1" l="1"/>
  <c r="Q60" i="1" s="1"/>
  <c r="O59" i="1"/>
  <c r="R60" i="1" s="1"/>
  <c r="P60" i="1" l="1"/>
  <c r="N60" i="1" l="1"/>
  <c r="Q61" i="1" s="1"/>
  <c r="O60" i="1"/>
  <c r="R61" i="1" s="1"/>
  <c r="P61" i="1" l="1"/>
  <c r="N61" i="1" l="1"/>
  <c r="Q62" i="1" s="1"/>
  <c r="O61" i="1"/>
  <c r="R62" i="1" s="1"/>
  <c r="P62" i="1" l="1"/>
  <c r="N62" i="1" l="1"/>
  <c r="Q63" i="1" s="1"/>
  <c r="O62" i="1"/>
  <c r="R63" i="1" s="1"/>
  <c r="P63" i="1" l="1"/>
  <c r="O63" i="1" l="1"/>
  <c r="R64" i="1" s="1"/>
  <c r="N63" i="1"/>
  <c r="Q64" i="1" s="1"/>
  <c r="P64" i="1" l="1"/>
  <c r="N64" i="1" l="1"/>
  <c r="Q65" i="1" s="1"/>
  <c r="O64" i="1"/>
  <c r="R65" i="1" s="1"/>
  <c r="P65" i="1" l="1"/>
  <c r="N65" i="1" l="1"/>
  <c r="Q66" i="1" s="1"/>
  <c r="O65" i="1"/>
  <c r="R66" i="1" s="1"/>
  <c r="P66" i="1" l="1"/>
  <c r="N66" i="1" l="1"/>
  <c r="Q67" i="1" s="1"/>
  <c r="O66" i="1"/>
  <c r="R67" i="1" s="1"/>
  <c r="P67" i="1" l="1"/>
  <c r="N67" i="1" l="1"/>
  <c r="Q68" i="1" s="1"/>
  <c r="O67" i="1"/>
  <c r="R68" i="1" s="1"/>
  <c r="P68" i="1" l="1"/>
  <c r="N68" i="1" l="1"/>
  <c r="Q69" i="1" s="1"/>
  <c r="O68" i="1"/>
  <c r="R69" i="1" s="1"/>
  <c r="P69" i="1" l="1"/>
  <c r="N69" i="1" l="1"/>
  <c r="Q70" i="1" s="1"/>
  <c r="O69" i="1"/>
  <c r="R70" i="1" s="1"/>
  <c r="P70" i="1" l="1"/>
  <c r="O70" i="1" l="1"/>
  <c r="R71" i="1" s="1"/>
  <c r="N70" i="1"/>
  <c r="Q71" i="1" s="1"/>
  <c r="P71" i="1" l="1"/>
  <c r="N71" i="1" l="1"/>
  <c r="Q72" i="1" s="1"/>
  <c r="O71" i="1"/>
  <c r="R72" i="1" s="1"/>
  <c r="P72" i="1" l="1"/>
  <c r="N72" i="1" l="1"/>
  <c r="Q73" i="1" s="1"/>
  <c r="O72" i="1"/>
  <c r="R73" i="1" s="1"/>
  <c r="P73" i="1" l="1"/>
  <c r="O73" i="1" l="1"/>
  <c r="R74" i="1" s="1"/>
  <c r="N73" i="1"/>
  <c r="Q74" i="1" s="1"/>
  <c r="P74" i="1" l="1"/>
  <c r="N74" i="1" l="1"/>
  <c r="Q75" i="1" s="1"/>
  <c r="O74" i="1"/>
  <c r="R75" i="1" s="1"/>
  <c r="P75" i="1" l="1"/>
  <c r="N75" i="1" l="1"/>
  <c r="Q76" i="1" s="1"/>
  <c r="O75" i="1"/>
  <c r="R76" i="1" s="1"/>
  <c r="P76" i="1" l="1"/>
  <c r="N76" i="1" l="1"/>
  <c r="Q77" i="1" s="1"/>
  <c r="O76" i="1"/>
  <c r="R77" i="1" s="1"/>
  <c r="P77" i="1" l="1"/>
  <c r="N77" i="1" l="1"/>
  <c r="Q78" i="1" s="1"/>
  <c r="O77" i="1"/>
  <c r="R78" i="1" s="1"/>
  <c r="P78" i="1" l="1"/>
  <c r="N78" i="1" l="1"/>
  <c r="Q79" i="1" s="1"/>
  <c r="O78" i="1"/>
  <c r="R79" i="1" s="1"/>
  <c r="P79" i="1" l="1"/>
  <c r="N79" i="1" l="1"/>
  <c r="Q80" i="1" s="1"/>
  <c r="O79" i="1"/>
  <c r="R80" i="1" s="1"/>
  <c r="P80" i="1" l="1"/>
  <c r="O80" i="1" l="1"/>
  <c r="R81" i="1" s="1"/>
  <c r="N80" i="1"/>
  <c r="Q81" i="1" s="1"/>
  <c r="P81" i="1" l="1"/>
  <c r="N81" i="1" l="1"/>
  <c r="Q82" i="1" s="1"/>
  <c r="O81" i="1"/>
  <c r="R82" i="1" s="1"/>
  <c r="P82" i="1" l="1"/>
  <c r="O82" i="1" l="1"/>
  <c r="R83" i="1" s="1"/>
  <c r="N82" i="1"/>
  <c r="Q83" i="1" s="1"/>
  <c r="P83" i="1" l="1"/>
  <c r="N83" i="1" l="1"/>
  <c r="Q84" i="1" s="1"/>
  <c r="O83" i="1"/>
  <c r="R84" i="1" s="1"/>
  <c r="P84" i="1" l="1"/>
  <c r="N84" i="1" l="1"/>
  <c r="Q85" i="1" s="1"/>
  <c r="O84" i="1"/>
  <c r="R85" i="1" s="1"/>
  <c r="P85" i="1" l="1"/>
  <c r="N85" i="1" l="1"/>
  <c r="Q86" i="1" s="1"/>
  <c r="O85" i="1"/>
  <c r="R86" i="1" s="1"/>
  <c r="P86" i="1" l="1"/>
  <c r="N86" i="1" l="1"/>
  <c r="Q87" i="1" s="1"/>
  <c r="O86" i="1"/>
  <c r="R87" i="1" s="1"/>
  <c r="P87" i="1" l="1"/>
  <c r="N87" i="1" l="1"/>
  <c r="Q88" i="1" s="1"/>
  <c r="O87" i="1"/>
  <c r="R88" i="1" s="1"/>
  <c r="P88" i="1" l="1"/>
  <c r="O88" i="1" l="1"/>
  <c r="R89" i="1" s="1"/>
  <c r="N88" i="1"/>
  <c r="Q89" i="1" s="1"/>
  <c r="P89" i="1" l="1"/>
  <c r="N89" i="1" l="1"/>
  <c r="Q90" i="1" s="1"/>
  <c r="O89" i="1"/>
  <c r="R90" i="1" s="1"/>
  <c r="P90" i="1" l="1"/>
  <c r="N90" i="1" l="1"/>
  <c r="Q91" i="1" s="1"/>
  <c r="O90" i="1"/>
  <c r="R91" i="1" s="1"/>
  <c r="P91" i="1" l="1"/>
  <c r="N91" i="1" l="1"/>
  <c r="Q92" i="1" s="1"/>
  <c r="O91" i="1"/>
  <c r="R92" i="1" s="1"/>
  <c r="P92" i="1" l="1"/>
  <c r="N92" i="1" l="1"/>
  <c r="Q93" i="1" s="1"/>
  <c r="O92" i="1"/>
  <c r="R93" i="1" s="1"/>
  <c r="P93" i="1" l="1"/>
  <c r="N93" i="1" l="1"/>
  <c r="Q94" i="1" s="1"/>
  <c r="O93" i="1"/>
  <c r="R94" i="1" s="1"/>
  <c r="P94" i="1" l="1"/>
  <c r="N94" i="1" l="1"/>
  <c r="Q95" i="1" s="1"/>
  <c r="O94" i="1"/>
  <c r="R95" i="1" s="1"/>
  <c r="P95" i="1" l="1"/>
  <c r="N95" i="1" l="1"/>
  <c r="Q96" i="1" s="1"/>
  <c r="O95" i="1"/>
  <c r="R96" i="1" s="1"/>
  <c r="P96" i="1" l="1"/>
  <c r="O96" i="1" l="1"/>
  <c r="R97" i="1" s="1"/>
  <c r="N96" i="1"/>
  <c r="Q97" i="1" s="1"/>
  <c r="P97" i="1" l="1"/>
  <c r="N97" i="1" l="1"/>
  <c r="Q98" i="1" s="1"/>
  <c r="O97" i="1"/>
  <c r="R98" i="1" s="1"/>
  <c r="P98" i="1" l="1"/>
  <c r="N98" i="1" l="1"/>
  <c r="Q99" i="1" s="1"/>
  <c r="O98" i="1"/>
  <c r="R99" i="1" s="1"/>
  <c r="P99" i="1" l="1"/>
  <c r="O99" i="1" l="1"/>
  <c r="R100" i="1" s="1"/>
  <c r="N99" i="1"/>
  <c r="Q100" i="1" s="1"/>
  <c r="P100" i="1" l="1"/>
  <c r="N100" i="1" l="1"/>
  <c r="Q101" i="1" s="1"/>
  <c r="O100" i="1"/>
  <c r="R101" i="1" s="1"/>
  <c r="P101" i="1" l="1"/>
  <c r="N101" i="1" l="1"/>
  <c r="Q102" i="1" s="1"/>
  <c r="O101" i="1"/>
  <c r="R102" i="1" s="1"/>
  <c r="P102" i="1" l="1"/>
  <c r="N102" i="1" l="1"/>
  <c r="Q103" i="1" s="1"/>
  <c r="O102" i="1"/>
  <c r="R103" i="1" s="1"/>
  <c r="P103" i="1" l="1"/>
  <c r="N103" i="1" l="1"/>
  <c r="Q104" i="1" s="1"/>
  <c r="O103" i="1"/>
  <c r="R104" i="1" s="1"/>
  <c r="P104" i="1" l="1"/>
  <c r="N104" i="1" l="1"/>
  <c r="Q105" i="1" s="1"/>
  <c r="O104" i="1"/>
  <c r="R105" i="1" s="1"/>
  <c r="P105" i="1" l="1"/>
  <c r="N105" i="1" l="1"/>
  <c r="Q106" i="1" s="1"/>
  <c r="O105" i="1"/>
  <c r="R106" i="1" s="1"/>
  <c r="P106" i="1" l="1"/>
  <c r="O106" i="1" l="1"/>
  <c r="R107" i="1" s="1"/>
  <c r="N106" i="1"/>
  <c r="Q107" i="1" s="1"/>
  <c r="P107" i="1" l="1"/>
  <c r="O107" i="1" l="1"/>
  <c r="R108" i="1" s="1"/>
  <c r="N107" i="1"/>
  <c r="Q108" i="1" s="1"/>
  <c r="P108" i="1" l="1"/>
  <c r="N108" i="1" l="1"/>
  <c r="Q109" i="1" s="1"/>
  <c r="O108" i="1"/>
  <c r="R109" i="1" s="1"/>
  <c r="P109" i="1" l="1"/>
  <c r="N109" i="1" l="1"/>
  <c r="Q110" i="1" s="1"/>
  <c r="O109" i="1"/>
  <c r="R110" i="1" s="1"/>
  <c r="P110" i="1" l="1"/>
  <c r="N110" i="1" l="1"/>
  <c r="Q111" i="1" s="1"/>
  <c r="O110" i="1"/>
  <c r="R111" i="1" s="1"/>
  <c r="P111" i="1" l="1"/>
  <c r="N111" i="1" l="1"/>
  <c r="Q112" i="1" s="1"/>
  <c r="O111" i="1"/>
  <c r="R112" i="1" s="1"/>
  <c r="P112" i="1" l="1"/>
  <c r="N112" i="1" l="1"/>
  <c r="Q113" i="1" s="1"/>
  <c r="O112" i="1"/>
  <c r="R113" i="1" s="1"/>
  <c r="P113" i="1" l="1"/>
  <c r="N113" i="1" l="1"/>
  <c r="Q114" i="1" s="1"/>
  <c r="O113" i="1"/>
  <c r="R114" i="1" s="1"/>
  <c r="P114" i="1" l="1"/>
  <c r="N114" i="1" l="1"/>
  <c r="Q115" i="1" s="1"/>
  <c r="O114" i="1"/>
  <c r="R115" i="1" s="1"/>
  <c r="P115" i="1" l="1"/>
  <c r="N115" i="1" l="1"/>
  <c r="Q116" i="1" s="1"/>
  <c r="O115" i="1"/>
  <c r="R116" i="1" s="1"/>
  <c r="P116" i="1" l="1"/>
  <c r="N116" i="1" l="1"/>
  <c r="Q117" i="1" s="1"/>
  <c r="O116" i="1"/>
  <c r="R117" i="1" s="1"/>
  <c r="P117" i="1" l="1"/>
  <c r="N117" i="1" l="1"/>
  <c r="Q118" i="1" s="1"/>
  <c r="O117" i="1"/>
  <c r="R118" i="1" s="1"/>
  <c r="P118" i="1" l="1"/>
  <c r="N118" i="1" l="1"/>
  <c r="Q119" i="1" s="1"/>
  <c r="O118" i="1"/>
  <c r="R119" i="1" s="1"/>
  <c r="P119" i="1" l="1"/>
  <c r="N119" i="1" l="1"/>
  <c r="Q120" i="1" s="1"/>
  <c r="O119" i="1"/>
  <c r="R120" i="1" s="1"/>
  <c r="P120" i="1" l="1"/>
  <c r="N120" i="1" l="1"/>
  <c r="Q121" i="1" s="1"/>
  <c r="O120" i="1"/>
  <c r="R121" i="1" s="1"/>
  <c r="P121" i="1" l="1"/>
  <c r="N121" i="1" l="1"/>
  <c r="Q122" i="1" s="1"/>
  <c r="O121" i="1"/>
  <c r="R122" i="1" s="1"/>
  <c r="P122" i="1" l="1"/>
  <c r="N122" i="1" l="1"/>
  <c r="Q123" i="1" s="1"/>
  <c r="O122" i="1"/>
  <c r="R123" i="1" s="1"/>
  <c r="P123" i="1" l="1"/>
  <c r="N123" i="1" l="1"/>
  <c r="Q124" i="1" s="1"/>
  <c r="O123" i="1"/>
  <c r="R124" i="1" s="1"/>
  <c r="P124" i="1" l="1"/>
  <c r="N124" i="1" l="1"/>
  <c r="Q125" i="1" s="1"/>
  <c r="O124" i="1"/>
  <c r="R125" i="1" s="1"/>
  <c r="P125" i="1" l="1"/>
  <c r="N125" i="1" l="1"/>
  <c r="Q126" i="1" s="1"/>
  <c r="O125" i="1"/>
  <c r="R126" i="1" s="1"/>
  <c r="P126" i="1" l="1"/>
  <c r="N126" i="1" l="1"/>
  <c r="Q127" i="1" s="1"/>
  <c r="O126" i="1"/>
  <c r="R127" i="1" s="1"/>
  <c r="P127" i="1" l="1"/>
  <c r="N127" i="1" l="1"/>
  <c r="Q128" i="1" s="1"/>
  <c r="O127" i="1"/>
  <c r="R128" i="1" s="1"/>
  <c r="P128" i="1" l="1"/>
  <c r="O128" i="1" l="1"/>
  <c r="R129" i="1" s="1"/>
  <c r="N128" i="1"/>
  <c r="Q129" i="1" s="1"/>
  <c r="P129" i="1" l="1"/>
  <c r="N129" i="1" l="1"/>
  <c r="Q130" i="1" s="1"/>
  <c r="O129" i="1"/>
  <c r="R130" i="1" s="1"/>
  <c r="P130" i="1" l="1"/>
  <c r="N130" i="1" l="1"/>
  <c r="Q131" i="1" s="1"/>
  <c r="O130" i="1"/>
  <c r="R131" i="1" s="1"/>
  <c r="P131" i="1" l="1"/>
  <c r="N131" i="1" l="1"/>
  <c r="Q132" i="1" s="1"/>
  <c r="O131" i="1"/>
  <c r="R132" i="1" s="1"/>
  <c r="P132" i="1" l="1"/>
  <c r="N132" i="1" l="1"/>
  <c r="Q133" i="1" s="1"/>
  <c r="O132" i="1"/>
  <c r="R133" i="1" s="1"/>
  <c r="P133" i="1" l="1"/>
  <c r="N133" i="1" l="1"/>
  <c r="Q134" i="1" s="1"/>
  <c r="O133" i="1"/>
  <c r="R134" i="1" s="1"/>
  <c r="P134" i="1" l="1"/>
  <c r="N134" i="1" l="1"/>
  <c r="Q135" i="1" s="1"/>
  <c r="O134" i="1"/>
  <c r="R135" i="1" s="1"/>
  <c r="P135" i="1" l="1"/>
  <c r="N135" i="1" l="1"/>
  <c r="Q136" i="1" s="1"/>
  <c r="O135" i="1"/>
  <c r="R136" i="1" s="1"/>
  <c r="P136" i="1" l="1"/>
  <c r="N136" i="1" l="1"/>
  <c r="Q137" i="1" s="1"/>
  <c r="O136" i="1"/>
  <c r="R137" i="1" s="1"/>
  <c r="P137" i="1" l="1"/>
  <c r="O137" i="1" l="1"/>
  <c r="R138" i="1" s="1"/>
  <c r="N137" i="1"/>
  <c r="Q138" i="1" s="1"/>
  <c r="P138" i="1" l="1"/>
  <c r="N138" i="1" l="1"/>
  <c r="Q139" i="1" s="1"/>
  <c r="O138" i="1"/>
  <c r="R139" i="1" s="1"/>
  <c r="P139" i="1" l="1"/>
  <c r="N139" i="1" l="1"/>
  <c r="Q140" i="1" s="1"/>
  <c r="O139" i="1"/>
  <c r="R140" i="1" s="1"/>
  <c r="P140" i="1" l="1"/>
  <c r="N140" i="1" l="1"/>
  <c r="Q141" i="1" s="1"/>
  <c r="O140" i="1"/>
  <c r="R141" i="1" s="1"/>
  <c r="P141" i="1" l="1"/>
  <c r="N141" i="1" l="1"/>
  <c r="Q142" i="1" s="1"/>
  <c r="O141" i="1"/>
  <c r="R142" i="1" s="1"/>
  <c r="P142" i="1" l="1"/>
  <c r="N142" i="1" l="1"/>
  <c r="Q143" i="1" s="1"/>
  <c r="O142" i="1"/>
  <c r="R143" i="1" s="1"/>
  <c r="P143" i="1" l="1"/>
  <c r="N143" i="1" l="1"/>
  <c r="Q144" i="1" s="1"/>
  <c r="O143" i="1"/>
  <c r="R144" i="1" s="1"/>
  <c r="P144" i="1" l="1"/>
  <c r="N144" i="1" l="1"/>
  <c r="Q145" i="1" s="1"/>
  <c r="O144" i="1"/>
  <c r="R145" i="1" s="1"/>
  <c r="P145" i="1" l="1"/>
  <c r="N145" i="1" l="1"/>
  <c r="Q146" i="1" s="1"/>
  <c r="O145" i="1"/>
  <c r="R146" i="1" s="1"/>
  <c r="P146" i="1" l="1"/>
  <c r="N146" i="1" l="1"/>
  <c r="Q147" i="1" s="1"/>
  <c r="O146" i="1"/>
  <c r="R147" i="1" s="1"/>
  <c r="P147" i="1" l="1"/>
  <c r="N147" i="1" l="1"/>
  <c r="Q148" i="1" s="1"/>
  <c r="O147" i="1"/>
  <c r="R148" i="1" s="1"/>
  <c r="P148" i="1" l="1"/>
  <c r="N148" i="1" l="1"/>
  <c r="Q149" i="1" s="1"/>
  <c r="O148" i="1"/>
  <c r="R149" i="1" s="1"/>
  <c r="P149" i="1" l="1"/>
  <c r="N149" i="1" l="1"/>
  <c r="Q150" i="1" s="1"/>
  <c r="O149" i="1"/>
  <c r="R150" i="1" s="1"/>
  <c r="P150" i="1" l="1"/>
  <c r="O150" i="1" l="1"/>
  <c r="R151" i="1" s="1"/>
  <c r="N150" i="1"/>
  <c r="Q151" i="1" s="1"/>
  <c r="P151" i="1" l="1"/>
  <c r="N151" i="1" l="1"/>
  <c r="Q152" i="1" s="1"/>
  <c r="O151" i="1"/>
  <c r="R152" i="1" s="1"/>
  <c r="P152" i="1" l="1"/>
  <c r="N152" i="1" l="1"/>
  <c r="Q153" i="1" s="1"/>
  <c r="O152" i="1"/>
  <c r="R153" i="1" s="1"/>
  <c r="P153" i="1" l="1"/>
  <c r="N153" i="1" l="1"/>
  <c r="Q154" i="1" s="1"/>
  <c r="O153" i="1"/>
  <c r="R154" i="1" s="1"/>
  <c r="P154" i="1" l="1"/>
  <c r="N154" i="1" l="1"/>
  <c r="Q155" i="1" s="1"/>
  <c r="O154" i="1"/>
  <c r="R155" i="1" s="1"/>
  <c r="P155" i="1" l="1"/>
  <c r="N155" i="1" l="1"/>
  <c r="Q156" i="1" s="1"/>
  <c r="O155" i="1"/>
  <c r="R156" i="1" s="1"/>
  <c r="P156" i="1" l="1"/>
  <c r="N156" i="1" l="1"/>
  <c r="Q157" i="1" s="1"/>
  <c r="O156" i="1"/>
  <c r="R157" i="1" s="1"/>
  <c r="P157" i="1" l="1"/>
  <c r="N157" i="1" l="1"/>
  <c r="Q158" i="1" s="1"/>
  <c r="O157" i="1"/>
  <c r="R158" i="1" s="1"/>
  <c r="P158" i="1" l="1"/>
  <c r="N158" i="1" l="1"/>
  <c r="Q159" i="1" s="1"/>
  <c r="O158" i="1"/>
  <c r="R159" i="1" s="1"/>
  <c r="P159" i="1" l="1"/>
  <c r="N159" i="1" l="1"/>
  <c r="Q160" i="1" s="1"/>
  <c r="O159" i="1"/>
  <c r="R160" i="1" s="1"/>
  <c r="P160" i="1" l="1"/>
  <c r="N160" i="1" l="1"/>
  <c r="Q161" i="1" s="1"/>
  <c r="O160" i="1"/>
  <c r="R161" i="1" s="1"/>
  <c r="P161" i="1" l="1"/>
  <c r="N161" i="1" l="1"/>
  <c r="Q162" i="1" s="1"/>
  <c r="O161" i="1"/>
  <c r="R162" i="1" s="1"/>
  <c r="P162" i="1" l="1"/>
  <c r="N162" i="1" l="1"/>
  <c r="Q163" i="1" s="1"/>
  <c r="O162" i="1"/>
  <c r="R163" i="1" s="1"/>
  <c r="P163" i="1" l="1"/>
  <c r="N163" i="1" l="1"/>
  <c r="Q164" i="1" s="1"/>
  <c r="O163" i="1"/>
  <c r="R164" i="1" s="1"/>
  <c r="P164" i="1" l="1"/>
  <c r="N164" i="1" l="1"/>
  <c r="Q165" i="1" s="1"/>
  <c r="O164" i="1"/>
  <c r="R165" i="1" s="1"/>
  <c r="P165" i="1" l="1"/>
  <c r="N165" i="1" l="1"/>
  <c r="Q166" i="1" s="1"/>
  <c r="O165" i="1"/>
  <c r="R166" i="1" s="1"/>
  <c r="P166" i="1" l="1"/>
  <c r="N166" i="1" l="1"/>
  <c r="Q167" i="1" s="1"/>
  <c r="O166" i="1"/>
  <c r="R167" i="1" s="1"/>
  <c r="P167" i="1" l="1"/>
  <c r="N167" i="1" l="1"/>
  <c r="Q168" i="1" s="1"/>
  <c r="O167" i="1"/>
  <c r="R168" i="1" s="1"/>
  <c r="P168" i="1" l="1"/>
  <c r="N168" i="1" l="1"/>
  <c r="Q169" i="1" s="1"/>
  <c r="O168" i="1"/>
  <c r="R169" i="1" s="1"/>
  <c r="P169" i="1" l="1"/>
  <c r="N169" i="1" l="1"/>
  <c r="Q170" i="1" s="1"/>
  <c r="O169" i="1"/>
  <c r="R170" i="1" s="1"/>
  <c r="P170" i="1" l="1"/>
  <c r="N170" i="1" l="1"/>
  <c r="Q171" i="1" s="1"/>
  <c r="O170" i="1"/>
  <c r="R171" i="1" s="1"/>
  <c r="P171" i="1" l="1"/>
  <c r="N171" i="1" l="1"/>
  <c r="Q172" i="1" s="1"/>
  <c r="O171" i="1"/>
  <c r="R172" i="1" s="1"/>
  <c r="P172" i="1" l="1"/>
  <c r="N172" i="1" l="1"/>
  <c r="Q173" i="1" s="1"/>
  <c r="O172" i="1"/>
  <c r="R173" i="1" s="1"/>
  <c r="P173" i="1" l="1"/>
  <c r="N173" i="1" l="1"/>
  <c r="Q174" i="1" s="1"/>
  <c r="O173" i="1"/>
  <c r="R174" i="1" s="1"/>
  <c r="P174" i="1" l="1"/>
  <c r="N174" i="1" l="1"/>
  <c r="Q175" i="1" s="1"/>
  <c r="O174" i="1"/>
  <c r="R175" i="1" s="1"/>
  <c r="P175" i="1" l="1"/>
  <c r="N175" i="1" l="1"/>
  <c r="Q176" i="1" s="1"/>
  <c r="O175" i="1"/>
  <c r="R176" i="1" s="1"/>
  <c r="P176" i="1" l="1"/>
  <c r="N176" i="1" l="1"/>
  <c r="Q177" i="1" s="1"/>
  <c r="O176" i="1"/>
  <c r="R177" i="1" s="1"/>
  <c r="P177" i="1" l="1"/>
  <c r="O177" i="1" l="1"/>
  <c r="R178" i="1" s="1"/>
  <c r="N177" i="1"/>
  <c r="Q178" i="1" s="1"/>
  <c r="P178" i="1" l="1"/>
  <c r="N178" i="1" l="1"/>
  <c r="Q179" i="1" s="1"/>
  <c r="O178" i="1"/>
  <c r="R179" i="1" s="1"/>
  <c r="P179" i="1" l="1"/>
  <c r="N179" i="1" l="1"/>
  <c r="Q180" i="1" s="1"/>
  <c r="O179" i="1"/>
  <c r="R180" i="1" s="1"/>
  <c r="P180" i="1" l="1"/>
  <c r="N180" i="1" l="1"/>
  <c r="Q181" i="1" s="1"/>
  <c r="O180" i="1"/>
  <c r="R181" i="1" s="1"/>
  <c r="P181" i="1" l="1"/>
  <c r="N181" i="1" l="1"/>
  <c r="Q182" i="1" s="1"/>
  <c r="O181" i="1"/>
  <c r="R182" i="1" s="1"/>
  <c r="P182" i="1" l="1"/>
  <c r="N182" i="1" l="1"/>
  <c r="Q183" i="1" s="1"/>
  <c r="O182" i="1"/>
  <c r="R183" i="1" s="1"/>
  <c r="P183" i="1" l="1"/>
  <c r="O183" i="1" l="1"/>
  <c r="R184" i="1" s="1"/>
  <c r="N183" i="1"/>
  <c r="Q184" i="1" s="1"/>
  <c r="P184" i="1" l="1"/>
  <c r="N184" i="1" l="1"/>
  <c r="Q185" i="1" s="1"/>
  <c r="O184" i="1"/>
  <c r="R185" i="1" s="1"/>
  <c r="P185" i="1" l="1"/>
  <c r="N185" i="1" l="1"/>
  <c r="Q186" i="1" s="1"/>
  <c r="O185" i="1"/>
  <c r="R186" i="1" s="1"/>
  <c r="P186" i="1" l="1"/>
  <c r="N186" i="1" l="1"/>
  <c r="Q187" i="1" s="1"/>
  <c r="O186" i="1"/>
  <c r="R187" i="1" s="1"/>
  <c r="P187" i="1" l="1"/>
  <c r="N187" i="1" l="1"/>
  <c r="Q188" i="1" s="1"/>
  <c r="O187" i="1"/>
  <c r="R188" i="1" s="1"/>
  <c r="P188" i="1" l="1"/>
  <c r="N188" i="1" l="1"/>
  <c r="Q189" i="1" s="1"/>
  <c r="O188" i="1"/>
  <c r="R189" i="1" s="1"/>
  <c r="P189" i="1" l="1"/>
  <c r="N189" i="1" l="1"/>
  <c r="Q190" i="1" s="1"/>
  <c r="O189" i="1"/>
  <c r="R190" i="1" s="1"/>
  <c r="P190" i="1" l="1"/>
  <c r="O190" i="1" l="1"/>
  <c r="R191" i="1" s="1"/>
  <c r="N190" i="1"/>
  <c r="Q191" i="1" s="1"/>
  <c r="P191" i="1" l="1"/>
  <c r="N191" i="1" l="1"/>
  <c r="Q192" i="1" s="1"/>
  <c r="O191" i="1"/>
  <c r="R192" i="1" s="1"/>
  <c r="P192" i="1" l="1"/>
  <c r="N192" i="1" l="1"/>
  <c r="Q193" i="1" s="1"/>
  <c r="O192" i="1"/>
  <c r="R193" i="1" s="1"/>
  <c r="P193" i="1" l="1"/>
  <c r="N193" i="1" l="1"/>
  <c r="Q194" i="1" s="1"/>
  <c r="O193" i="1"/>
  <c r="R194" i="1" s="1"/>
  <c r="P194" i="1" l="1"/>
  <c r="O194" i="1" l="1"/>
  <c r="R195" i="1" s="1"/>
  <c r="N194" i="1"/>
  <c r="Q195" i="1" s="1"/>
  <c r="P195" i="1" l="1"/>
  <c r="N195" i="1" l="1"/>
  <c r="Q196" i="1" s="1"/>
  <c r="O195" i="1"/>
  <c r="R196" i="1" s="1"/>
  <c r="P196" i="1" l="1"/>
  <c r="N196" i="1" l="1"/>
  <c r="Q197" i="1" s="1"/>
  <c r="O196" i="1"/>
  <c r="R197" i="1" s="1"/>
  <c r="P197" i="1" l="1"/>
  <c r="N197" i="1" l="1"/>
  <c r="Q198" i="1" s="1"/>
  <c r="O197" i="1"/>
  <c r="R198" i="1" s="1"/>
  <c r="P198" i="1" l="1"/>
  <c r="N198" i="1" l="1"/>
  <c r="Q199" i="1" s="1"/>
  <c r="O198" i="1"/>
  <c r="R199" i="1" s="1"/>
  <c r="P199" i="1" l="1"/>
  <c r="N199" i="1" l="1"/>
  <c r="Q200" i="1" s="1"/>
  <c r="O199" i="1"/>
  <c r="R200" i="1" s="1"/>
  <c r="P200" i="1" l="1"/>
  <c r="N200" i="1" l="1"/>
  <c r="Q201" i="1" s="1"/>
  <c r="O200" i="1"/>
  <c r="R201" i="1" s="1"/>
  <c r="P201" i="1" l="1"/>
  <c r="O201" i="1" l="1"/>
  <c r="R202" i="1" s="1"/>
  <c r="N201" i="1"/>
  <c r="Q202" i="1" s="1"/>
  <c r="P202" i="1" l="1"/>
  <c r="O202" i="1" l="1"/>
  <c r="R203" i="1" s="1"/>
  <c r="N202" i="1"/>
  <c r="Q203" i="1" s="1"/>
  <c r="P203" i="1" l="1"/>
  <c r="O203" i="1" l="1"/>
  <c r="R204" i="1" s="1"/>
  <c r="N203" i="1"/>
  <c r="Q204" i="1" s="1"/>
  <c r="P204" i="1" l="1"/>
  <c r="N204" i="1" l="1"/>
  <c r="Q205" i="1" s="1"/>
  <c r="O204" i="1"/>
  <c r="R205" i="1" s="1"/>
  <c r="P205" i="1" l="1"/>
  <c r="O205" i="1" l="1"/>
  <c r="R206" i="1" s="1"/>
  <c r="N205" i="1"/>
  <c r="Q206" i="1" s="1"/>
  <c r="P206" i="1" l="1"/>
  <c r="O206" i="1" l="1"/>
  <c r="R207" i="1" s="1"/>
  <c r="N206" i="1"/>
  <c r="Q207" i="1" s="1"/>
  <c r="P207" i="1" l="1"/>
  <c r="N207" i="1" l="1"/>
  <c r="Q208" i="1" s="1"/>
  <c r="O207" i="1"/>
  <c r="R208" i="1" s="1"/>
  <c r="P208" i="1" l="1"/>
  <c r="N208" i="1" l="1"/>
  <c r="Q209" i="1" s="1"/>
  <c r="O208" i="1"/>
  <c r="R209" i="1" s="1"/>
  <c r="P209" i="1" l="1"/>
  <c r="O209" i="1" l="1"/>
  <c r="R210" i="1" s="1"/>
  <c r="N209" i="1"/>
  <c r="Q210" i="1" s="1"/>
  <c r="P210" i="1" l="1"/>
  <c r="O210" i="1" l="1"/>
  <c r="N210" i="1"/>
</calcChain>
</file>

<file path=xl/sharedStrings.xml><?xml version="1.0" encoding="utf-8"?>
<sst xmlns="http://schemas.openxmlformats.org/spreadsheetml/2006/main" count="43" uniqueCount="24">
  <si>
    <t>xFiltered</t>
  </si>
  <si>
    <t>pFiltered</t>
  </si>
  <si>
    <t>kGain</t>
  </si>
  <si>
    <t>xForecast</t>
  </si>
  <si>
    <t>予測値</t>
    <rPh sb="0" eb="3">
      <t>ヨソクアタイ</t>
    </rPh>
    <phoneticPr fontId="1"/>
  </si>
  <si>
    <t>予測値の分散</t>
    <rPh sb="0" eb="3">
      <t>ヨソクアタイ</t>
    </rPh>
    <rPh sb="4" eb="6">
      <t>ブンサン</t>
    </rPh>
    <phoneticPr fontId="1"/>
  </si>
  <si>
    <t>観測値</t>
  </si>
  <si>
    <t>前回の状態</t>
  </si>
  <si>
    <t>前回の状態の予測誤差の分散</t>
  </si>
  <si>
    <t>sigmaW</t>
  </si>
  <si>
    <t>状態方程式のノイズ</t>
  </si>
  <si>
    <t>観測方程式のノイズ</t>
  </si>
  <si>
    <t>xPre</t>
  </si>
  <si>
    <t>pPre</t>
  </si>
  <si>
    <t>sigmaV</t>
  </si>
  <si>
    <t>y</t>
  </si>
  <si>
    <t>カルマンゲイン</t>
  </si>
  <si>
    <t>補正された状態の予測誤差の分散</t>
  </si>
  <si>
    <t>カルマンゲインを使って補正された状態</t>
  </si>
  <si>
    <t>更新前</t>
    <rPh sb="0" eb="3">
      <t>コウシンマエ</t>
    </rPh>
    <phoneticPr fontId="1"/>
  </si>
  <si>
    <t>更新後</t>
    <rPh sb="0" eb="2">
      <t>コウシン</t>
    </rPh>
    <rPh sb="2" eb="3">
      <t>ゴ</t>
    </rPh>
    <phoneticPr fontId="1"/>
  </si>
  <si>
    <t>予測分散</t>
    <rPh sb="0" eb="4">
      <t>ヨソクブンサン</t>
    </rPh>
    <phoneticPr fontId="1"/>
  </si>
  <si>
    <t>pForecast</t>
  </si>
  <si>
    <t>真値</t>
    <rPh sb="0" eb="2">
      <t>シンアタイ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</si>
</sst>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70707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Sheet1!$M$10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Sheet1!$M$11:$M$210</c:f>
              <c:numCache>
                <c:formatCode>General</c:formatCode>
                <c:ptCount val="200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3-42AD-9409-18B0B158AF0F}"/>
            </c:ext>
          </c:extLst>
        </c:ser>
        <c:ser>
          <c:idx val="1"/>
          <c:order val="1"/>
          <c:tx>
            <c:strRef>
              <c:f>Sheet1!$Q$10</c:f>
              <c:strCache>
                <c:ptCount val="1"/>
                <c:pt idx="0">
                  <c:v>xForecast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Sheet1!$Q$11:$Q$210</c:f>
              <c:numCache>
                <c:formatCode>General</c:formatCode>
                <c:ptCount val="200"/>
                <c:pt idx="0">
                  <c:v>0</c:v>
                </c:pt>
                <c:pt idx="1">
                  <c:v>3.9130434782608696</c:v>
                </c:pt>
                <c:pt idx="2">
                  <c:v>1.8611825192802061</c:v>
                </c:pt>
                <c:pt idx="3">
                  <c:v>1.2606192624863857</c:v>
                </c:pt>
                <c:pt idx="4">
                  <c:v>1.0790385141703078</c:v>
                </c:pt>
                <c:pt idx="5">
                  <c:v>1.0239748360121217</c:v>
                </c:pt>
                <c:pt idx="6">
                  <c:v>1.00727244270609</c:v>
                </c:pt>
                <c:pt idx="7">
                  <c:v>1.0022060009137728</c:v>
                </c:pt>
                <c:pt idx="8">
                  <c:v>1.0006691617887999</c:v>
                </c:pt>
                <c:pt idx="9">
                  <c:v>1.0002029815595486</c:v>
                </c:pt>
                <c:pt idx="10">
                  <c:v>1.0000615718265138</c:v>
                </c:pt>
                <c:pt idx="11">
                  <c:v>1.0000186770159276</c:v>
                </c:pt>
                <c:pt idx="12">
                  <c:v>1.0000056654308263</c:v>
                </c:pt>
                <c:pt idx="13">
                  <c:v>1.0000017185350472</c:v>
                </c:pt>
                <c:pt idx="14">
                  <c:v>1.0000005212953433</c:v>
                </c:pt>
                <c:pt idx="15">
                  <c:v>1.0000001581281892</c:v>
                </c:pt>
                <c:pt idx="16">
                  <c:v>1.0000000479661377</c:v>
                </c:pt>
                <c:pt idx="17">
                  <c:v>1.0000000145499066</c:v>
                </c:pt>
                <c:pt idx="18">
                  <c:v>1.0000000044135255</c:v>
                </c:pt>
                <c:pt idx="19">
                  <c:v>1.0000000013387857</c:v>
                </c:pt>
                <c:pt idx="20">
                  <c:v>1.0000000004061034</c:v>
                </c:pt>
                <c:pt idx="21">
                  <c:v>1.0000000001231861</c:v>
                </c:pt>
                <c:pt idx="22">
                  <c:v>1.000000000037367</c:v>
                </c:pt>
                <c:pt idx="23">
                  <c:v>1.0000000000113349</c:v>
                </c:pt>
                <c:pt idx="24">
                  <c:v>1.0000000000034384</c:v>
                </c:pt>
                <c:pt idx="25">
                  <c:v>1.0000000000010429</c:v>
                </c:pt>
                <c:pt idx="26">
                  <c:v>1.0000000000003164</c:v>
                </c:pt>
                <c:pt idx="27">
                  <c:v>1.0000000000000959</c:v>
                </c:pt>
                <c:pt idx="28">
                  <c:v>1.0000000000000291</c:v>
                </c:pt>
                <c:pt idx="29">
                  <c:v>1.0000000000000089</c:v>
                </c:pt>
                <c:pt idx="30">
                  <c:v>1.0000000000000027</c:v>
                </c:pt>
                <c:pt idx="31">
                  <c:v>1.0000000000000009</c:v>
                </c:pt>
                <c:pt idx="32">
                  <c:v>1.0000000000000002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F3-42AD-9409-18B0B158AF0F}"/>
            </c:ext>
          </c:extLst>
        </c:ser>
        <c:ser>
          <c:idx val="2"/>
          <c:order val="2"/>
          <c:tx>
            <c:strRef>
              <c:f>Sheet1!$R$10</c:f>
              <c:strCache>
                <c:ptCount val="1"/>
                <c:pt idx="0">
                  <c:v>pForecast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Sheet1!$R$11:$R$210</c:f>
              <c:numCache>
                <c:formatCode>General</c:formatCode>
                <c:ptCount val="200"/>
                <c:pt idx="0">
                  <c:v>0.36</c:v>
                </c:pt>
                <c:pt idx="1">
                  <c:v>0.23826086956521736</c:v>
                </c:pt>
                <c:pt idx="2">
                  <c:v>0.23043701799485863</c:v>
                </c:pt>
                <c:pt idx="3">
                  <c:v>0.22973704683367047</c:v>
                </c:pt>
                <c:pt idx="4">
                  <c:v>0.22967280414492125</c:v>
                </c:pt>
                <c:pt idx="5">
                  <c:v>0.22966689434411436</c:v>
                </c:pt>
                <c:pt idx="6">
                  <c:v>0.22966635057519075</c:v>
                </c:pt>
                <c:pt idx="7">
                  <c:v>0.22966630054128262</c:v>
                </c:pt>
                <c:pt idx="8">
                  <c:v>0.22966629593749532</c:v>
                </c:pt>
                <c:pt idx="9">
                  <c:v>0.22966629551388534</c:v>
                </c:pt>
                <c:pt idx="10">
                  <c:v>0.22966629547490758</c:v>
                </c:pt>
                <c:pt idx="11">
                  <c:v>0.22966629547132111</c:v>
                </c:pt>
                <c:pt idx="12">
                  <c:v>0.2296662954709911</c:v>
                </c:pt>
                <c:pt idx="13">
                  <c:v>0.22966629547096074</c:v>
                </c:pt>
                <c:pt idx="14">
                  <c:v>0.22966629547095796</c:v>
                </c:pt>
                <c:pt idx="15">
                  <c:v>0.22966629547095768</c:v>
                </c:pt>
                <c:pt idx="16">
                  <c:v>0.22966629547095768</c:v>
                </c:pt>
                <c:pt idx="17">
                  <c:v>0.22966629547095768</c:v>
                </c:pt>
                <c:pt idx="18">
                  <c:v>0.22966629547095768</c:v>
                </c:pt>
                <c:pt idx="19">
                  <c:v>0.22966629547095768</c:v>
                </c:pt>
                <c:pt idx="20">
                  <c:v>0.22966629547095768</c:v>
                </c:pt>
                <c:pt idx="21">
                  <c:v>0.22966629547095768</c:v>
                </c:pt>
                <c:pt idx="22">
                  <c:v>0.22966629547095768</c:v>
                </c:pt>
                <c:pt idx="23">
                  <c:v>0.22966629547095768</c:v>
                </c:pt>
                <c:pt idx="24">
                  <c:v>0.22966629547095768</c:v>
                </c:pt>
                <c:pt idx="25">
                  <c:v>0.22966629547095768</c:v>
                </c:pt>
                <c:pt idx="26">
                  <c:v>0.22966629547095768</c:v>
                </c:pt>
                <c:pt idx="27">
                  <c:v>0.22966629547095768</c:v>
                </c:pt>
                <c:pt idx="28">
                  <c:v>0.22966629547095768</c:v>
                </c:pt>
                <c:pt idx="29">
                  <c:v>0.22966629547095768</c:v>
                </c:pt>
                <c:pt idx="30">
                  <c:v>0.22966629547095768</c:v>
                </c:pt>
                <c:pt idx="31">
                  <c:v>0.22966629547095768</c:v>
                </c:pt>
                <c:pt idx="32">
                  <c:v>0.22966629547095768</c:v>
                </c:pt>
                <c:pt idx="33">
                  <c:v>0.22966629547095768</c:v>
                </c:pt>
                <c:pt idx="34">
                  <c:v>0.22966629547095768</c:v>
                </c:pt>
                <c:pt idx="35">
                  <c:v>0.22966629547095768</c:v>
                </c:pt>
                <c:pt idx="36">
                  <c:v>0.22966629547095768</c:v>
                </c:pt>
                <c:pt idx="37">
                  <c:v>0.22966629547095768</c:v>
                </c:pt>
                <c:pt idx="38">
                  <c:v>0.22966629547095768</c:v>
                </c:pt>
                <c:pt idx="39">
                  <c:v>0.22966629547095768</c:v>
                </c:pt>
                <c:pt idx="40">
                  <c:v>0.22966629547095768</c:v>
                </c:pt>
                <c:pt idx="41">
                  <c:v>0.22966629547095768</c:v>
                </c:pt>
                <c:pt idx="42">
                  <c:v>0.22966629547095768</c:v>
                </c:pt>
                <c:pt idx="43">
                  <c:v>0.22966629547095768</c:v>
                </c:pt>
                <c:pt idx="44">
                  <c:v>0.22966629547095768</c:v>
                </c:pt>
                <c:pt idx="45">
                  <c:v>0.22966629547095768</c:v>
                </c:pt>
                <c:pt idx="46">
                  <c:v>0.22966629547095768</c:v>
                </c:pt>
                <c:pt idx="47">
                  <c:v>0.22966629547095768</c:v>
                </c:pt>
                <c:pt idx="48">
                  <c:v>0.22966629547095768</c:v>
                </c:pt>
                <c:pt idx="49">
                  <c:v>0.22966629547095768</c:v>
                </c:pt>
                <c:pt idx="50">
                  <c:v>0.22966629547095768</c:v>
                </c:pt>
                <c:pt idx="51">
                  <c:v>0.22966629547095768</c:v>
                </c:pt>
                <c:pt idx="52">
                  <c:v>0.22966629547095768</c:v>
                </c:pt>
                <c:pt idx="53">
                  <c:v>0.22966629547095768</c:v>
                </c:pt>
                <c:pt idx="54">
                  <c:v>0.22966629547095768</c:v>
                </c:pt>
                <c:pt idx="55">
                  <c:v>0.22966629547095768</c:v>
                </c:pt>
                <c:pt idx="56">
                  <c:v>0.22966629547095768</c:v>
                </c:pt>
                <c:pt idx="57">
                  <c:v>0.22966629547095768</c:v>
                </c:pt>
                <c:pt idx="58">
                  <c:v>0.22966629547095768</c:v>
                </c:pt>
                <c:pt idx="59">
                  <c:v>0.22966629547095768</c:v>
                </c:pt>
                <c:pt idx="60">
                  <c:v>0.22966629547095768</c:v>
                </c:pt>
                <c:pt idx="61">
                  <c:v>0.22966629547095768</c:v>
                </c:pt>
                <c:pt idx="62">
                  <c:v>0.22966629547095768</c:v>
                </c:pt>
                <c:pt idx="63">
                  <c:v>0.22966629547095768</c:v>
                </c:pt>
                <c:pt idx="64">
                  <c:v>0.22966629547095768</c:v>
                </c:pt>
                <c:pt idx="65">
                  <c:v>0.22966629547095768</c:v>
                </c:pt>
                <c:pt idx="66">
                  <c:v>0.22966629547095768</c:v>
                </c:pt>
                <c:pt idx="67">
                  <c:v>0.22966629547095768</c:v>
                </c:pt>
                <c:pt idx="68">
                  <c:v>0.22966629547095768</c:v>
                </c:pt>
                <c:pt idx="69">
                  <c:v>0.22966629547095768</c:v>
                </c:pt>
                <c:pt idx="70">
                  <c:v>0.22966629547095768</c:v>
                </c:pt>
                <c:pt idx="71">
                  <c:v>0.22966629547095768</c:v>
                </c:pt>
                <c:pt idx="72">
                  <c:v>0.22966629547095768</c:v>
                </c:pt>
                <c:pt idx="73">
                  <c:v>0.22966629547095768</c:v>
                </c:pt>
                <c:pt idx="74">
                  <c:v>0.22966629547095768</c:v>
                </c:pt>
                <c:pt idx="75">
                  <c:v>0.22966629547095768</c:v>
                </c:pt>
                <c:pt idx="76">
                  <c:v>0.22966629547095768</c:v>
                </c:pt>
                <c:pt idx="77">
                  <c:v>0.22966629547095768</c:v>
                </c:pt>
                <c:pt idx="78">
                  <c:v>0.22966629547095768</c:v>
                </c:pt>
                <c:pt idx="79">
                  <c:v>0.22966629547095768</c:v>
                </c:pt>
                <c:pt idx="80">
                  <c:v>0.22966629547095768</c:v>
                </c:pt>
                <c:pt idx="81">
                  <c:v>0.22966629547095768</c:v>
                </c:pt>
                <c:pt idx="82">
                  <c:v>0.22966629547095768</c:v>
                </c:pt>
                <c:pt idx="83">
                  <c:v>0.22966629547095768</c:v>
                </c:pt>
                <c:pt idx="84">
                  <c:v>0.22966629547095768</c:v>
                </c:pt>
                <c:pt idx="85">
                  <c:v>0.22966629547095768</c:v>
                </c:pt>
                <c:pt idx="86">
                  <c:v>0.22966629547095768</c:v>
                </c:pt>
                <c:pt idx="87">
                  <c:v>0.22966629547095768</c:v>
                </c:pt>
                <c:pt idx="88">
                  <c:v>0.22966629547095768</c:v>
                </c:pt>
                <c:pt idx="89">
                  <c:v>0.22966629547095768</c:v>
                </c:pt>
                <c:pt idx="90">
                  <c:v>0.22966629547095768</c:v>
                </c:pt>
                <c:pt idx="91">
                  <c:v>0.22966629547095768</c:v>
                </c:pt>
                <c:pt idx="92">
                  <c:v>0.22966629547095768</c:v>
                </c:pt>
                <c:pt idx="93">
                  <c:v>0.22966629547095768</c:v>
                </c:pt>
                <c:pt idx="94">
                  <c:v>0.22966629547095768</c:v>
                </c:pt>
                <c:pt idx="95">
                  <c:v>0.22966629547095768</c:v>
                </c:pt>
                <c:pt idx="96">
                  <c:v>0.22966629547095768</c:v>
                </c:pt>
                <c:pt idx="97">
                  <c:v>0.22966629547095768</c:v>
                </c:pt>
                <c:pt idx="98">
                  <c:v>0.22966629547095768</c:v>
                </c:pt>
                <c:pt idx="99">
                  <c:v>0.22966629547095768</c:v>
                </c:pt>
                <c:pt idx="100">
                  <c:v>0.22966629547095768</c:v>
                </c:pt>
                <c:pt idx="101">
                  <c:v>0.22966629547095768</c:v>
                </c:pt>
                <c:pt idx="102">
                  <c:v>0.22966629547095768</c:v>
                </c:pt>
                <c:pt idx="103">
                  <c:v>0.22966629547095768</c:v>
                </c:pt>
                <c:pt idx="104">
                  <c:v>0.22966629547095768</c:v>
                </c:pt>
                <c:pt idx="105">
                  <c:v>0.22966629547095768</c:v>
                </c:pt>
                <c:pt idx="106">
                  <c:v>0.22966629547095768</c:v>
                </c:pt>
                <c:pt idx="107">
                  <c:v>0.22966629547095768</c:v>
                </c:pt>
                <c:pt idx="108">
                  <c:v>0.22966629547095768</c:v>
                </c:pt>
                <c:pt idx="109">
                  <c:v>0.22966629547095768</c:v>
                </c:pt>
                <c:pt idx="110">
                  <c:v>0.22966629547095768</c:v>
                </c:pt>
                <c:pt idx="111">
                  <c:v>0.22966629547095768</c:v>
                </c:pt>
                <c:pt idx="112">
                  <c:v>0.22966629547095768</c:v>
                </c:pt>
                <c:pt idx="113">
                  <c:v>0.22966629547095768</c:v>
                </c:pt>
                <c:pt idx="114">
                  <c:v>0.22966629547095768</c:v>
                </c:pt>
                <c:pt idx="115">
                  <c:v>0.22966629547095768</c:v>
                </c:pt>
                <c:pt idx="116">
                  <c:v>0.22966629547095768</c:v>
                </c:pt>
                <c:pt idx="117">
                  <c:v>0.22966629547095768</c:v>
                </c:pt>
                <c:pt idx="118">
                  <c:v>0.22966629547095768</c:v>
                </c:pt>
                <c:pt idx="119">
                  <c:v>0.22966629547095768</c:v>
                </c:pt>
                <c:pt idx="120">
                  <c:v>0.22966629547095768</c:v>
                </c:pt>
                <c:pt idx="121">
                  <c:v>0.22966629547095768</c:v>
                </c:pt>
                <c:pt idx="122">
                  <c:v>0.22966629547095768</c:v>
                </c:pt>
                <c:pt idx="123">
                  <c:v>0.22966629547095768</c:v>
                </c:pt>
                <c:pt idx="124">
                  <c:v>0.22966629547095768</c:v>
                </c:pt>
                <c:pt idx="125">
                  <c:v>0.22966629547095768</c:v>
                </c:pt>
                <c:pt idx="126">
                  <c:v>0.22966629547095768</c:v>
                </c:pt>
                <c:pt idx="127">
                  <c:v>0.22966629547095768</c:v>
                </c:pt>
                <c:pt idx="128">
                  <c:v>0.22966629547095768</c:v>
                </c:pt>
                <c:pt idx="129">
                  <c:v>0.22966629547095768</c:v>
                </c:pt>
                <c:pt idx="130">
                  <c:v>0.22966629547095768</c:v>
                </c:pt>
                <c:pt idx="131">
                  <c:v>0.22966629547095768</c:v>
                </c:pt>
                <c:pt idx="132">
                  <c:v>0.22966629547095768</c:v>
                </c:pt>
                <c:pt idx="133">
                  <c:v>0.22966629547095768</c:v>
                </c:pt>
                <c:pt idx="134">
                  <c:v>0.22966629547095768</c:v>
                </c:pt>
                <c:pt idx="135">
                  <c:v>0.22966629547095768</c:v>
                </c:pt>
                <c:pt idx="136">
                  <c:v>0.22966629547095768</c:v>
                </c:pt>
                <c:pt idx="137">
                  <c:v>0.22966629547095768</c:v>
                </c:pt>
                <c:pt idx="138">
                  <c:v>0.22966629547095768</c:v>
                </c:pt>
                <c:pt idx="139">
                  <c:v>0.22966629547095768</c:v>
                </c:pt>
                <c:pt idx="140">
                  <c:v>0.22966629547095768</c:v>
                </c:pt>
                <c:pt idx="141">
                  <c:v>0.22966629547095768</c:v>
                </c:pt>
                <c:pt idx="142">
                  <c:v>0.22966629547095768</c:v>
                </c:pt>
                <c:pt idx="143">
                  <c:v>0.22966629547095768</c:v>
                </c:pt>
                <c:pt idx="144">
                  <c:v>0.22966629547095768</c:v>
                </c:pt>
                <c:pt idx="145">
                  <c:v>0.22966629547095768</c:v>
                </c:pt>
                <c:pt idx="146">
                  <c:v>0.22966629547095768</c:v>
                </c:pt>
                <c:pt idx="147">
                  <c:v>0.22966629547095768</c:v>
                </c:pt>
                <c:pt idx="148">
                  <c:v>0.22966629547095768</c:v>
                </c:pt>
                <c:pt idx="149">
                  <c:v>0.22966629547095768</c:v>
                </c:pt>
                <c:pt idx="150">
                  <c:v>0.22966629547095768</c:v>
                </c:pt>
                <c:pt idx="151">
                  <c:v>0.22966629547095768</c:v>
                </c:pt>
                <c:pt idx="152">
                  <c:v>0.22966629547095768</c:v>
                </c:pt>
                <c:pt idx="153">
                  <c:v>0.22966629547095768</c:v>
                </c:pt>
                <c:pt idx="154">
                  <c:v>0.22966629547095768</c:v>
                </c:pt>
                <c:pt idx="155">
                  <c:v>0.22966629547095768</c:v>
                </c:pt>
                <c:pt idx="156">
                  <c:v>0.22966629547095768</c:v>
                </c:pt>
                <c:pt idx="157">
                  <c:v>0.22966629547095768</c:v>
                </c:pt>
                <c:pt idx="158">
                  <c:v>0.22966629547095768</c:v>
                </c:pt>
                <c:pt idx="159">
                  <c:v>0.22966629547095768</c:v>
                </c:pt>
                <c:pt idx="160">
                  <c:v>0.22966629547095768</c:v>
                </c:pt>
                <c:pt idx="161">
                  <c:v>0.22966629547095768</c:v>
                </c:pt>
                <c:pt idx="162">
                  <c:v>0.22966629547095768</c:v>
                </c:pt>
                <c:pt idx="163">
                  <c:v>0.22966629547095768</c:v>
                </c:pt>
                <c:pt idx="164">
                  <c:v>0.22966629547095768</c:v>
                </c:pt>
                <c:pt idx="165">
                  <c:v>0.22966629547095768</c:v>
                </c:pt>
                <c:pt idx="166">
                  <c:v>0.22966629547095768</c:v>
                </c:pt>
                <c:pt idx="167">
                  <c:v>0.22966629547095768</c:v>
                </c:pt>
                <c:pt idx="168">
                  <c:v>0.22966629547095768</c:v>
                </c:pt>
                <c:pt idx="169">
                  <c:v>0.22966629547095768</c:v>
                </c:pt>
                <c:pt idx="170">
                  <c:v>0.22966629547095768</c:v>
                </c:pt>
                <c:pt idx="171">
                  <c:v>0.22966629547095768</c:v>
                </c:pt>
                <c:pt idx="172">
                  <c:v>0.22966629547095768</c:v>
                </c:pt>
                <c:pt idx="173">
                  <c:v>0.22966629547095768</c:v>
                </c:pt>
                <c:pt idx="174">
                  <c:v>0.22966629547095768</c:v>
                </c:pt>
                <c:pt idx="175">
                  <c:v>0.22966629547095768</c:v>
                </c:pt>
                <c:pt idx="176">
                  <c:v>0.22966629547095768</c:v>
                </c:pt>
                <c:pt idx="177">
                  <c:v>0.22966629547095768</c:v>
                </c:pt>
                <c:pt idx="178">
                  <c:v>0.22966629547095768</c:v>
                </c:pt>
                <c:pt idx="179">
                  <c:v>0.22966629547095768</c:v>
                </c:pt>
                <c:pt idx="180">
                  <c:v>0.22966629547095768</c:v>
                </c:pt>
                <c:pt idx="181">
                  <c:v>0.22966629547095768</c:v>
                </c:pt>
                <c:pt idx="182">
                  <c:v>0.22966629547095768</c:v>
                </c:pt>
                <c:pt idx="183">
                  <c:v>0.22966629547095768</c:v>
                </c:pt>
                <c:pt idx="184">
                  <c:v>0.22966629547095768</c:v>
                </c:pt>
                <c:pt idx="185">
                  <c:v>0.22966629547095768</c:v>
                </c:pt>
                <c:pt idx="186">
                  <c:v>0.22966629547095768</c:v>
                </c:pt>
                <c:pt idx="187">
                  <c:v>0.22966629547095768</c:v>
                </c:pt>
                <c:pt idx="188">
                  <c:v>0.22966629547095768</c:v>
                </c:pt>
                <c:pt idx="189">
                  <c:v>0.22966629547095768</c:v>
                </c:pt>
                <c:pt idx="190">
                  <c:v>0.22966629547095768</c:v>
                </c:pt>
                <c:pt idx="191">
                  <c:v>0.22966629547095768</c:v>
                </c:pt>
                <c:pt idx="192">
                  <c:v>0.22966629547095768</c:v>
                </c:pt>
                <c:pt idx="193">
                  <c:v>0.22966629547095768</c:v>
                </c:pt>
                <c:pt idx="194">
                  <c:v>0.22966629547095768</c:v>
                </c:pt>
                <c:pt idx="195">
                  <c:v>0.22966629547095768</c:v>
                </c:pt>
                <c:pt idx="196">
                  <c:v>0.22966629547095768</c:v>
                </c:pt>
                <c:pt idx="197">
                  <c:v>0.22966629547095768</c:v>
                </c:pt>
                <c:pt idx="198">
                  <c:v>0.22966629547095768</c:v>
                </c:pt>
                <c:pt idx="199">
                  <c:v>0.22966629547095768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F3-42AD-9409-18B0B158AF0F}"/>
            </c:ext>
          </c:extLst>
        </c:ser>
        <c:ser>
          <c:idx val="3"/>
          <c:order val="3"/>
          <c:tx>
            <c:strRef>
              <c:f>Sheet1!$N$10</c:f>
              <c:strCache>
                <c:ptCount val="1"/>
                <c:pt idx="0">
                  <c:v>xPre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Sheet1!$N$11:$N$210</c:f>
              <c:numCache>
                <c:formatCode>General</c:formatCode>
                <c:ptCount val="200"/>
                <c:pt idx="0">
                  <c:v>3.9130434782608696</c:v>
                </c:pt>
                <c:pt idx="1">
                  <c:v>1.8611825192802061</c:v>
                </c:pt>
                <c:pt idx="2">
                  <c:v>1.2606192624863857</c:v>
                </c:pt>
                <c:pt idx="3">
                  <c:v>1.0790385141703078</c:v>
                </c:pt>
                <c:pt idx="4">
                  <c:v>1.0239748360121217</c:v>
                </c:pt>
                <c:pt idx="5">
                  <c:v>1.00727244270609</c:v>
                </c:pt>
                <c:pt idx="6">
                  <c:v>1.0022060009137728</c:v>
                </c:pt>
                <c:pt idx="7">
                  <c:v>1.0006691617887999</c:v>
                </c:pt>
                <c:pt idx="8">
                  <c:v>1.0002029815595486</c:v>
                </c:pt>
                <c:pt idx="9">
                  <c:v>1.0000615718265138</c:v>
                </c:pt>
                <c:pt idx="10">
                  <c:v>1.0000186770159276</c:v>
                </c:pt>
                <c:pt idx="11">
                  <c:v>1.0000056654308263</c:v>
                </c:pt>
                <c:pt idx="12">
                  <c:v>1.0000017185350472</c:v>
                </c:pt>
                <c:pt idx="13">
                  <c:v>1.0000005212953433</c:v>
                </c:pt>
                <c:pt idx="14">
                  <c:v>1.0000001581281892</c:v>
                </c:pt>
                <c:pt idx="15">
                  <c:v>1.0000000479661377</c:v>
                </c:pt>
                <c:pt idx="16">
                  <c:v>1.0000000145499066</c:v>
                </c:pt>
                <c:pt idx="17">
                  <c:v>1.0000000044135255</c:v>
                </c:pt>
                <c:pt idx="18">
                  <c:v>1.0000000013387857</c:v>
                </c:pt>
                <c:pt idx="19">
                  <c:v>1.0000000004061034</c:v>
                </c:pt>
                <c:pt idx="20">
                  <c:v>1.0000000001231861</c:v>
                </c:pt>
                <c:pt idx="21">
                  <c:v>1.000000000037367</c:v>
                </c:pt>
                <c:pt idx="22">
                  <c:v>1.0000000000113349</c:v>
                </c:pt>
                <c:pt idx="23">
                  <c:v>1.0000000000034384</c:v>
                </c:pt>
                <c:pt idx="24">
                  <c:v>1.0000000000010429</c:v>
                </c:pt>
                <c:pt idx="25">
                  <c:v>1.0000000000003164</c:v>
                </c:pt>
                <c:pt idx="26">
                  <c:v>1.0000000000000959</c:v>
                </c:pt>
                <c:pt idx="27">
                  <c:v>1.0000000000000291</c:v>
                </c:pt>
                <c:pt idx="28">
                  <c:v>1.0000000000000089</c:v>
                </c:pt>
                <c:pt idx="29">
                  <c:v>1.0000000000000027</c:v>
                </c:pt>
                <c:pt idx="30">
                  <c:v>1.0000000000000009</c:v>
                </c:pt>
                <c:pt idx="31">
                  <c:v>1.0000000000000002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F3-42AD-9409-18B0B158A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8520063"/>
        <c:axId val="2038523391"/>
      </c:lineChart>
      <c:catAx>
        <c:axId val="20385200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523391"/>
        <c:crosses val="autoZero"/>
        <c:auto val="1"/>
        <c:lblAlgn val="ctr"/>
        <c:lblOffset val="100"/>
        <c:noMultiLvlLbl val="0"/>
      </c:catAx>
      <c:valAx>
        <c:axId val="203852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520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Sheet1!$M$10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Sheet1!$M$11:$M$210</c:f>
              <c:numCache>
                <c:formatCode>General</c:formatCode>
                <c:ptCount val="200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863-8A51-A0DCBC709391}"/>
            </c:ext>
          </c:extLst>
        </c:ser>
        <c:ser>
          <c:idx val="1"/>
          <c:order val="1"/>
          <c:tx>
            <c:strRef>
              <c:f>Sheet1!$N$10</c:f>
              <c:strCache>
                <c:ptCount val="1"/>
                <c:pt idx="0">
                  <c:v>xPre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Sheet1!$N$11:$N$210</c:f>
              <c:numCache>
                <c:formatCode>General</c:formatCode>
                <c:ptCount val="200"/>
                <c:pt idx="0">
                  <c:v>3.9130434782608696</c:v>
                </c:pt>
                <c:pt idx="1">
                  <c:v>1.8611825192802061</c:v>
                </c:pt>
                <c:pt idx="2">
                  <c:v>1.2606192624863857</c:v>
                </c:pt>
                <c:pt idx="3">
                  <c:v>1.0790385141703078</c:v>
                </c:pt>
                <c:pt idx="4">
                  <c:v>1.0239748360121217</c:v>
                </c:pt>
                <c:pt idx="5">
                  <c:v>1.00727244270609</c:v>
                </c:pt>
                <c:pt idx="6">
                  <c:v>1.0022060009137728</c:v>
                </c:pt>
                <c:pt idx="7">
                  <c:v>1.0006691617887999</c:v>
                </c:pt>
                <c:pt idx="8">
                  <c:v>1.0002029815595486</c:v>
                </c:pt>
                <c:pt idx="9">
                  <c:v>1.0000615718265138</c:v>
                </c:pt>
                <c:pt idx="10">
                  <c:v>1.0000186770159276</c:v>
                </c:pt>
                <c:pt idx="11">
                  <c:v>1.0000056654308263</c:v>
                </c:pt>
                <c:pt idx="12">
                  <c:v>1.0000017185350472</c:v>
                </c:pt>
                <c:pt idx="13">
                  <c:v>1.0000005212953433</c:v>
                </c:pt>
                <c:pt idx="14">
                  <c:v>1.0000001581281892</c:v>
                </c:pt>
                <c:pt idx="15">
                  <c:v>1.0000000479661377</c:v>
                </c:pt>
                <c:pt idx="16">
                  <c:v>1.0000000145499066</c:v>
                </c:pt>
                <c:pt idx="17">
                  <c:v>1.0000000044135255</c:v>
                </c:pt>
                <c:pt idx="18">
                  <c:v>1.0000000013387857</c:v>
                </c:pt>
                <c:pt idx="19">
                  <c:v>1.0000000004061034</c:v>
                </c:pt>
                <c:pt idx="20">
                  <c:v>1.0000000001231861</c:v>
                </c:pt>
                <c:pt idx="21">
                  <c:v>1.000000000037367</c:v>
                </c:pt>
                <c:pt idx="22">
                  <c:v>1.0000000000113349</c:v>
                </c:pt>
                <c:pt idx="23">
                  <c:v>1.0000000000034384</c:v>
                </c:pt>
                <c:pt idx="24">
                  <c:v>1.0000000000010429</c:v>
                </c:pt>
                <c:pt idx="25">
                  <c:v>1.0000000000003164</c:v>
                </c:pt>
                <c:pt idx="26">
                  <c:v>1.0000000000000959</c:v>
                </c:pt>
                <c:pt idx="27">
                  <c:v>1.0000000000000291</c:v>
                </c:pt>
                <c:pt idx="28">
                  <c:v>1.0000000000000089</c:v>
                </c:pt>
                <c:pt idx="29">
                  <c:v>1.0000000000000027</c:v>
                </c:pt>
                <c:pt idx="30">
                  <c:v>1.0000000000000009</c:v>
                </c:pt>
                <c:pt idx="31">
                  <c:v>1.0000000000000002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863-8A51-A0DCBC709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051215"/>
        <c:axId val="536052047"/>
      </c:lineChart>
      <c:catAx>
        <c:axId val="536051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6052047"/>
        <c:crosses val="autoZero"/>
        <c:auto val="1"/>
        <c:lblAlgn val="ctr"/>
        <c:lblOffset val="100"/>
        <c:noMultiLvlLbl val="0"/>
      </c:catAx>
      <c:valAx>
        <c:axId val="53605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6051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</xdr:row>
          <xdr:rowOff>142875</xdr:rowOff>
        </xdr:from>
        <xdr:to>
          <xdr:col>7</xdr:col>
          <xdr:colOff>542925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3</xdr:row>
      <xdr:rowOff>0</xdr:rowOff>
    </xdr:from>
    <xdr:to>
      <xdr:col>25</xdr:col>
      <xdr:colOff>457200</xdr:colOff>
      <xdr:row>14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EC9AA21-8728-E7E1-C084-9F0559CD9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423862</xdr:colOff>
      <xdr:row>9</xdr:row>
      <xdr:rowOff>0</xdr:rowOff>
    </xdr:from>
    <xdr:to>
      <xdr:col>7</xdr:col>
      <xdr:colOff>604837</xdr:colOff>
      <xdr:row>20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BD07D240-980A-EB1B-1F72-027262C77B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C9AE-D8E7-4390-899F-18629CFDE602}">
  <sheetPr codeName="Sheet1"/>
  <dimension ref="B2:R210"/>
  <sheetViews>
    <sheetView tabSelected="1" topLeftCell="E194" workbookViewId="0">
      <selection activeCell="L2" sqref="L2:R210"/>
    </sheetView>
  </sheetViews>
  <sheetFormatPr defaultRowHeight="18.75" x14ac:dyDescent="0.4"/>
  <cols>
    <col min="4" max="4" width="27.625" bestFit="1" customWidth="1"/>
    <col min="6" max="7" width="10.5" bestFit="1" customWidth="1"/>
    <col min="9" max="9" width="16.125" customWidth="1"/>
    <col min="16" max="16" width="15.125" bestFit="1" customWidth="1"/>
  </cols>
  <sheetData>
    <row r="2" spans="2:18" x14ac:dyDescent="0.4">
      <c r="M2" t="s">
        <v>6</v>
      </c>
      <c r="N2">
        <v>5</v>
      </c>
    </row>
    <row r="3" spans="2:18" x14ac:dyDescent="0.4">
      <c r="M3" t="s">
        <v>7</v>
      </c>
      <c r="N3">
        <v>0</v>
      </c>
    </row>
    <row r="4" spans="2:18" x14ac:dyDescent="0.4">
      <c r="C4" t="s">
        <v>15</v>
      </c>
      <c r="M4" t="s">
        <v>8</v>
      </c>
      <c r="N4">
        <v>0.2</v>
      </c>
    </row>
    <row r="5" spans="2:18" x14ac:dyDescent="0.4">
      <c r="B5" t="s">
        <v>0</v>
      </c>
      <c r="C5" t="s">
        <v>12</v>
      </c>
      <c r="M5" t="s">
        <v>10</v>
      </c>
      <c r="N5">
        <v>0.16</v>
      </c>
    </row>
    <row r="6" spans="2:18" x14ac:dyDescent="0.4">
      <c r="B6" t="s">
        <v>1</v>
      </c>
      <c r="C6" t="s">
        <v>13</v>
      </c>
      <c r="M6" t="s">
        <v>11</v>
      </c>
      <c r="N6">
        <v>0.1</v>
      </c>
    </row>
    <row r="7" spans="2:18" x14ac:dyDescent="0.4">
      <c r="C7" t="s">
        <v>9</v>
      </c>
    </row>
    <row r="8" spans="2:18" x14ac:dyDescent="0.4">
      <c r="C8" t="s">
        <v>14</v>
      </c>
      <c r="F8" t="s">
        <v>20</v>
      </c>
      <c r="G8" t="s">
        <v>20</v>
      </c>
      <c r="I8" t="s">
        <v>19</v>
      </c>
      <c r="J8" t="s">
        <v>19</v>
      </c>
      <c r="N8" t="s">
        <v>20</v>
      </c>
      <c r="O8" t="s">
        <v>20</v>
      </c>
      <c r="Q8" t="s">
        <v>19</v>
      </c>
      <c r="R8" t="s">
        <v>19</v>
      </c>
    </row>
    <row r="9" spans="2:18" x14ac:dyDescent="0.4">
      <c r="F9" s="1" t="s">
        <v>4</v>
      </c>
      <c r="G9" s="1" t="s">
        <v>5</v>
      </c>
      <c r="H9" t="s">
        <v>16</v>
      </c>
      <c r="I9" t="s">
        <v>18</v>
      </c>
      <c r="J9" t="s">
        <v>17</v>
      </c>
      <c r="M9" t="s">
        <v>23</v>
      </c>
      <c r="N9" s="1" t="s">
        <v>4</v>
      </c>
      <c r="O9" s="1" t="s">
        <v>21</v>
      </c>
      <c r="P9" t="s">
        <v>16</v>
      </c>
      <c r="Q9" s="1" t="s">
        <v>4</v>
      </c>
      <c r="R9" s="1" t="s">
        <v>21</v>
      </c>
    </row>
    <row r="10" spans="2:18" x14ac:dyDescent="0.4">
      <c r="E10" t="s">
        <v>15</v>
      </c>
      <c r="F10" t="s">
        <v>12</v>
      </c>
      <c r="G10" t="s">
        <v>13</v>
      </c>
      <c r="H10" t="s">
        <v>2</v>
      </c>
      <c r="I10" t="s">
        <v>3</v>
      </c>
      <c r="J10" t="s">
        <v>1</v>
      </c>
      <c r="L10" s="2"/>
      <c r="M10" s="2" t="s">
        <v>15</v>
      </c>
      <c r="N10" s="2" t="s">
        <v>12</v>
      </c>
      <c r="O10" s="2" t="s">
        <v>13</v>
      </c>
      <c r="P10" s="2" t="s">
        <v>2</v>
      </c>
      <c r="Q10" s="2" t="s">
        <v>3</v>
      </c>
      <c r="R10" s="2" t="s">
        <v>22</v>
      </c>
    </row>
    <row r="11" spans="2:18" x14ac:dyDescent="0.4">
      <c r="E11">
        <v>2.0499999999999998</v>
      </c>
      <c r="F11">
        <v>1.3666666666666665</v>
      </c>
      <c r="G11">
        <v>0.66666666666666674</v>
      </c>
      <c r="H11">
        <v>0.66666666666666663</v>
      </c>
      <c r="I11">
        <v>0</v>
      </c>
      <c r="J11">
        <v>2</v>
      </c>
      <c r="L11" s="2">
        <v>1</v>
      </c>
      <c r="M11" s="2">
        <v>5</v>
      </c>
      <c r="N11" s="2">
        <f>(1-P11)*Q11+P11*M11</f>
        <v>3.9130434782608696</v>
      </c>
      <c r="O11" s="2">
        <f>(1-P11)*R11</f>
        <v>7.826086956521737E-2</v>
      </c>
      <c r="P11" s="2">
        <f>R11/(R11+$N$6)</f>
        <v>0.78260869565217395</v>
      </c>
      <c r="Q11" s="2">
        <v>0</v>
      </c>
      <c r="R11" s="2">
        <f>N4+N5</f>
        <v>0.36</v>
      </c>
    </row>
    <row r="12" spans="2:18" x14ac:dyDescent="0.4">
      <c r="E12">
        <v>2.0999999999999996</v>
      </c>
      <c r="F12">
        <v>1.8249999999999997</v>
      </c>
      <c r="G12">
        <v>0.625</v>
      </c>
      <c r="H12">
        <v>0.625</v>
      </c>
      <c r="I12">
        <v>1.3666666666666665</v>
      </c>
      <c r="J12">
        <v>1.6666666666666667</v>
      </c>
      <c r="L12" s="2">
        <v>2</v>
      </c>
      <c r="M12" s="2">
        <v>1</v>
      </c>
      <c r="N12" s="2">
        <f>(1-P12)*Q12+P12*M12</f>
        <v>1.8611825192802061</v>
      </c>
      <c r="O12" s="2">
        <f>(1-P12)*R12</f>
        <v>7.0437017994858631E-2</v>
      </c>
      <c r="P12" s="2">
        <f>R12/(R12+$N$6)</f>
        <v>0.70437017994858597</v>
      </c>
      <c r="Q12" s="2">
        <f>N11</f>
        <v>3.9130434782608696</v>
      </c>
      <c r="R12" s="2">
        <f>O11+$N$5</f>
        <v>0.23826086956521736</v>
      </c>
    </row>
    <row r="13" spans="2:18" x14ac:dyDescent="0.4">
      <c r="E13">
        <v>2.1499999999999995</v>
      </c>
      <c r="F13">
        <v>2.0261904761904757</v>
      </c>
      <c r="G13">
        <v>0.61904761904761907</v>
      </c>
      <c r="H13">
        <v>0.61904761904761907</v>
      </c>
      <c r="I13">
        <v>1.8249999999999997</v>
      </c>
      <c r="J13">
        <v>1.625</v>
      </c>
      <c r="L13" s="2">
        <v>3</v>
      </c>
      <c r="M13" s="2">
        <v>1</v>
      </c>
      <c r="N13" s="2">
        <f>(1-P13)*Q13+P13*M13</f>
        <v>1.2606192624863857</v>
      </c>
      <c r="O13" s="2">
        <f>(1-P13)*R13</f>
        <v>6.9737046833670449E-2</v>
      </c>
      <c r="P13" s="2">
        <f>R13/(R13+$N$6)</f>
        <v>0.69737046833670457</v>
      </c>
      <c r="Q13" s="2">
        <f t="shared" ref="Q13:Q76" si="0">N12</f>
        <v>1.8611825192802061</v>
      </c>
      <c r="R13" s="2">
        <f>O12+$N$5</f>
        <v>0.23043701799485863</v>
      </c>
    </row>
    <row r="14" spans="2:18" x14ac:dyDescent="0.4">
      <c r="E14">
        <v>2.1999999999999993</v>
      </c>
      <c r="F14">
        <v>2.1336363636363629</v>
      </c>
      <c r="G14">
        <v>0.61818181818181817</v>
      </c>
      <c r="H14">
        <v>0.61818181818181817</v>
      </c>
      <c r="I14">
        <v>2.0261904761904757</v>
      </c>
      <c r="J14">
        <v>1.6190476190476191</v>
      </c>
      <c r="L14" s="2">
        <v>4</v>
      </c>
      <c r="M14" s="2">
        <v>1</v>
      </c>
      <c r="N14" s="2">
        <f t="shared" ref="N14:N76" si="1">(1-P14)*Q14+P14*M14</f>
        <v>1.0790385141703078</v>
      </c>
      <c r="O14" s="2">
        <f>(1-P14)*R14</f>
        <v>6.9672804144921233E-2</v>
      </c>
      <c r="P14" s="2">
        <f>R14/(R14+$N$6)</f>
        <v>0.69672804144921252</v>
      </c>
      <c r="Q14" s="2">
        <f t="shared" si="0"/>
        <v>1.2606192624863857</v>
      </c>
      <c r="R14" s="2">
        <f>O13+$N$5</f>
        <v>0.22973704683367047</v>
      </c>
    </row>
    <row r="15" spans="2:18" x14ac:dyDescent="0.4">
      <c r="E15">
        <v>2.2499999999999991</v>
      </c>
      <c r="F15">
        <v>2.2055555555555548</v>
      </c>
      <c r="G15">
        <v>0.61805555555555547</v>
      </c>
      <c r="H15">
        <v>0.61805555555555558</v>
      </c>
      <c r="I15">
        <v>2.1336363636363629</v>
      </c>
      <c r="J15">
        <v>1.6181818181818182</v>
      </c>
      <c r="L15" s="2">
        <v>5</v>
      </c>
      <c r="M15" s="2">
        <v>1</v>
      </c>
      <c r="N15" s="2">
        <f t="shared" si="1"/>
        <v>1.0239748360121217</v>
      </c>
      <c r="O15" s="2">
        <f>(1-P15)*R15</f>
        <v>6.9666894344114355E-2</v>
      </c>
      <c r="P15" s="2">
        <f>R15/(R15+$N$6)</f>
        <v>0.69666894344114316</v>
      </c>
      <c r="Q15" s="2">
        <f t="shared" si="0"/>
        <v>1.0790385141703078</v>
      </c>
      <c r="R15" s="2">
        <f>O14+$N$5</f>
        <v>0.22967280414492125</v>
      </c>
    </row>
    <row r="16" spans="2:18" x14ac:dyDescent="0.4">
      <c r="E16">
        <v>2.2999999999999989</v>
      </c>
      <c r="F16">
        <v>2.26392572944297</v>
      </c>
      <c r="G16">
        <v>0.61803713527851456</v>
      </c>
      <c r="H16">
        <v>0.61803713527851456</v>
      </c>
      <c r="I16">
        <v>2.2055555555555548</v>
      </c>
      <c r="J16">
        <v>1.6180555555555554</v>
      </c>
      <c r="L16" s="2">
        <v>6</v>
      </c>
      <c r="M16" s="2">
        <v>1</v>
      </c>
      <c r="N16" s="2">
        <f>(1-P16)*Q16+P16*M16</f>
        <v>1.00727244270609</v>
      </c>
      <c r="O16" s="2">
        <f>(1-P16)*R16</f>
        <v>6.9666350575190744E-2</v>
      </c>
      <c r="P16" s="2">
        <f>R16/(R16+$N$6)</f>
        <v>0.69666350575190739</v>
      </c>
      <c r="Q16" s="2">
        <f t="shared" si="0"/>
        <v>1.0239748360121217</v>
      </c>
      <c r="R16" s="2">
        <f>O15+$N$5</f>
        <v>0.22966689434411436</v>
      </c>
    </row>
    <row r="17" spans="5:18" x14ac:dyDescent="0.4">
      <c r="E17">
        <v>2.3499999999999988</v>
      </c>
      <c r="F17">
        <v>2.3171225937183371</v>
      </c>
      <c r="G17">
        <v>0.61803444782168193</v>
      </c>
      <c r="H17">
        <v>0.61803444782168182</v>
      </c>
      <c r="I17">
        <v>2.26392572944297</v>
      </c>
      <c r="J17">
        <v>1.6180371352785146</v>
      </c>
      <c r="L17" s="2">
        <v>7</v>
      </c>
      <c r="M17" s="2">
        <v>1</v>
      </c>
      <c r="N17" s="2">
        <f>(1-P17)*Q17+P17*M17</f>
        <v>1.0022060009137728</v>
      </c>
      <c r="O17" s="2">
        <f>(1-P17)*R17</f>
        <v>6.9666300541282616E-2</v>
      </c>
      <c r="P17" s="2">
        <f>R17/(R17+$N$6)</f>
        <v>0.69666300541282611</v>
      </c>
      <c r="Q17" s="2">
        <f t="shared" si="0"/>
        <v>1.00727244270609</v>
      </c>
      <c r="R17" s="2">
        <f>O16+$N$5</f>
        <v>0.22966635057519075</v>
      </c>
    </row>
    <row r="18" spans="5:18" x14ac:dyDescent="0.4">
      <c r="E18">
        <v>2.3999999999999986</v>
      </c>
      <c r="F18">
        <v>2.3683436532507729</v>
      </c>
      <c r="G18">
        <v>0.61803405572755421</v>
      </c>
      <c r="H18">
        <v>0.61803405572755421</v>
      </c>
      <c r="I18">
        <v>2.3171225937183371</v>
      </c>
      <c r="J18">
        <v>1.6180344478216819</v>
      </c>
      <c r="L18" s="2">
        <v>8</v>
      </c>
      <c r="M18" s="2">
        <v>1</v>
      </c>
      <c r="N18" s="2">
        <f>(1-P18)*Q18+P18*M18</f>
        <v>1.0006691617887999</v>
      </c>
      <c r="O18" s="2">
        <f>(1-P18)*R18</f>
        <v>6.9666295937495321E-2</v>
      </c>
      <c r="P18" s="2">
        <f>R18/(R18+$N$6)</f>
        <v>0.69666295937495293</v>
      </c>
      <c r="Q18" s="2">
        <f t="shared" si="0"/>
        <v>1.0022060009137728</v>
      </c>
      <c r="R18" s="2">
        <f>O17+$N$5</f>
        <v>0.22966630054128262</v>
      </c>
    </row>
    <row r="19" spans="5:18" x14ac:dyDescent="0.4">
      <c r="E19">
        <v>2.4499999999999984</v>
      </c>
      <c r="F19">
        <v>2.4188100517368798</v>
      </c>
      <c r="G19">
        <v>0.61803399852180341</v>
      </c>
      <c r="H19">
        <v>0.61803399852180341</v>
      </c>
      <c r="I19">
        <v>2.3683436532507729</v>
      </c>
      <c r="J19">
        <v>1.6180340557275543</v>
      </c>
      <c r="L19" s="2">
        <v>9</v>
      </c>
      <c r="M19" s="2">
        <v>1</v>
      </c>
      <c r="N19" s="2">
        <f>(1-P19)*Q19+P19*M19</f>
        <v>1.0002029815595486</v>
      </c>
      <c r="O19" s="2">
        <f>(1-P19)*R19</f>
        <v>6.9666295513885354E-2</v>
      </c>
      <c r="P19" s="2">
        <f>R19/(R19+$N$6)</f>
        <v>0.69666295513885357</v>
      </c>
      <c r="Q19" s="2">
        <f t="shared" si="0"/>
        <v>1.0006691617887999</v>
      </c>
      <c r="R19" s="2">
        <f>O18+$N$5</f>
        <v>0.22966629593749532</v>
      </c>
    </row>
    <row r="20" spans="5:18" x14ac:dyDescent="0.4">
      <c r="E20">
        <v>2.4999999999999982</v>
      </c>
      <c r="F20">
        <v>2.4689881994240852</v>
      </c>
      <c r="G20">
        <v>0.61803399017559701</v>
      </c>
      <c r="H20">
        <v>0.61803399017559713</v>
      </c>
      <c r="I20">
        <v>2.4188100517368798</v>
      </c>
      <c r="J20">
        <v>1.6180339985218035</v>
      </c>
      <c r="L20" s="2">
        <v>10</v>
      </c>
      <c r="M20" s="2">
        <v>1</v>
      </c>
      <c r="N20" s="2">
        <f t="shared" si="1"/>
        <v>1.0000615718265138</v>
      </c>
      <c r="O20" s="2">
        <f>(1-P20)*R20</f>
        <v>6.9666295474907589E-2</v>
      </c>
      <c r="P20" s="2">
        <f>R20/(R20+$N$6)</f>
        <v>0.69666295474907569</v>
      </c>
      <c r="Q20" s="2">
        <f t="shared" si="0"/>
        <v>1.0002029815595486</v>
      </c>
      <c r="R20" s="2">
        <f>O19+$N$5</f>
        <v>0.22966629551388534</v>
      </c>
    </row>
    <row r="21" spans="5:18" x14ac:dyDescent="0.4">
      <c r="E21">
        <v>2.549999999999998</v>
      </c>
      <c r="F21">
        <v>2.5190562456866785</v>
      </c>
      <c r="G21">
        <v>0.61803398895790207</v>
      </c>
      <c r="H21">
        <v>0.61803398895790196</v>
      </c>
      <c r="I21">
        <v>2.4689881994240852</v>
      </c>
      <c r="J21">
        <v>1.6180339901755971</v>
      </c>
      <c r="L21" s="2">
        <v>11</v>
      </c>
      <c r="M21" s="2">
        <v>1</v>
      </c>
      <c r="N21" s="2">
        <f t="shared" si="1"/>
        <v>1.0000186770159276</v>
      </c>
      <c r="O21" s="2">
        <f t="shared" ref="O13:O76" si="2">(1-P21)*R21</f>
        <v>6.9666295471321096E-2</v>
      </c>
      <c r="P21" s="2">
        <f>R21/(R21+$N$6)</f>
        <v>0.69666295471321105</v>
      </c>
      <c r="Q21" s="2">
        <f t="shared" si="0"/>
        <v>1.0000615718265138</v>
      </c>
      <c r="R21" s="2">
        <f>O20+$N$5</f>
        <v>0.22966629547490758</v>
      </c>
    </row>
    <row r="22" spans="5:18" x14ac:dyDescent="0.4">
      <c r="E22">
        <v>2.5999999999999979</v>
      </c>
      <c r="F22">
        <v>2.5690822370317874</v>
      </c>
      <c r="G22">
        <v>0.61803398878024263</v>
      </c>
      <c r="H22">
        <v>0.61803398878024274</v>
      </c>
      <c r="I22">
        <v>2.5190562456866785</v>
      </c>
      <c r="J22">
        <v>1.6180339889579021</v>
      </c>
      <c r="L22" s="2">
        <v>12</v>
      </c>
      <c r="M22" s="2">
        <v>1</v>
      </c>
      <c r="N22" s="2">
        <f t="shared" si="1"/>
        <v>1.0000056654308263</v>
      </c>
      <c r="O22" s="2">
        <f t="shared" si="2"/>
        <v>6.9666295470991096E-2</v>
      </c>
      <c r="P22" s="2">
        <f>R22/(R22+$N$6)</f>
        <v>0.69666295470991102</v>
      </c>
      <c r="Q22" s="2">
        <f t="shared" si="0"/>
        <v>1.0000186770159276</v>
      </c>
      <c r="R22" s="2">
        <f>O21+$N$5</f>
        <v>0.22966629547132111</v>
      </c>
    </row>
    <row r="23" spans="5:18" x14ac:dyDescent="0.4">
      <c r="E23">
        <v>2.6499999999999977</v>
      </c>
      <c r="F23">
        <v>2.6190921648401071</v>
      </c>
      <c r="G23">
        <v>0.61803398875432247</v>
      </c>
      <c r="H23">
        <v>0.61803398875432258</v>
      </c>
      <c r="I23">
        <v>2.5690822370317874</v>
      </c>
      <c r="J23">
        <v>1.6180339887802426</v>
      </c>
      <c r="L23" s="2">
        <v>13</v>
      </c>
      <c r="M23" s="2">
        <v>1</v>
      </c>
      <c r="N23" s="2">
        <f t="shared" si="1"/>
        <v>1.0000017185350472</v>
      </c>
      <c r="O23" s="2">
        <f t="shared" si="2"/>
        <v>6.9666295470960746E-2</v>
      </c>
      <c r="P23" s="2">
        <f>R23/(R23+$N$6)</f>
        <v>0.69666295470960726</v>
      </c>
      <c r="Q23" s="2">
        <f t="shared" si="0"/>
        <v>1.0000056654308263</v>
      </c>
      <c r="R23" s="2">
        <f>O22+$N$5</f>
        <v>0.2296662954709911</v>
      </c>
    </row>
    <row r="24" spans="5:18" x14ac:dyDescent="0.4">
      <c r="E24">
        <v>2.6999999999999975</v>
      </c>
      <c r="F24">
        <v>2.6690959569251453</v>
      </c>
      <c r="G24">
        <v>0.61803398875054083</v>
      </c>
      <c r="H24">
        <v>0.61803398875054083</v>
      </c>
      <c r="I24">
        <v>2.6190921648401071</v>
      </c>
      <c r="J24">
        <v>1.6180339887543225</v>
      </c>
      <c r="L24" s="2">
        <v>14</v>
      </c>
      <c r="M24" s="2">
        <v>1</v>
      </c>
      <c r="N24" s="2">
        <f t="shared" si="1"/>
        <v>1.0000005212953433</v>
      </c>
      <c r="O24" s="2">
        <f t="shared" si="2"/>
        <v>6.9666295470957942E-2</v>
      </c>
      <c r="P24" s="2">
        <f>R24/(R24+$N$6)</f>
        <v>0.6966629547095794</v>
      </c>
      <c r="Q24" s="2">
        <f t="shared" si="0"/>
        <v>1.0000017185350472</v>
      </c>
      <c r="R24" s="2">
        <f>O23+$N$5</f>
        <v>0.22966629547096074</v>
      </c>
    </row>
    <row r="25" spans="5:18" x14ac:dyDescent="0.4">
      <c r="E25">
        <v>2.7499999999999973</v>
      </c>
      <c r="F25">
        <v>2.7190974053726968</v>
      </c>
      <c r="G25">
        <v>0.61803398874998894</v>
      </c>
      <c r="H25">
        <v>0.61803398874998916</v>
      </c>
      <c r="I25">
        <v>2.6690959569251453</v>
      </c>
      <c r="J25">
        <v>1.6180339887505408</v>
      </c>
      <c r="L25" s="2">
        <v>15</v>
      </c>
      <c r="M25" s="2">
        <v>1</v>
      </c>
      <c r="N25" s="2">
        <f t="shared" si="1"/>
        <v>1.0000001581281892</v>
      </c>
      <c r="O25" s="2">
        <f t="shared" si="2"/>
        <v>6.9666295470957679E-2</v>
      </c>
      <c r="P25" s="2">
        <f>R25/(R25+$N$6)</f>
        <v>0.69666295470957684</v>
      </c>
      <c r="Q25" s="2">
        <f t="shared" si="0"/>
        <v>1.0000005212953433</v>
      </c>
      <c r="R25" s="2">
        <f>O24+$N$5</f>
        <v>0.22966629547095796</v>
      </c>
    </row>
    <row r="26" spans="5:18" x14ac:dyDescent="0.4">
      <c r="E26">
        <v>2.7999999999999972</v>
      </c>
      <c r="F26">
        <v>2.7690979586304243</v>
      </c>
      <c r="G26">
        <v>0.61803398874990867</v>
      </c>
      <c r="H26">
        <v>0.61803398874990856</v>
      </c>
      <c r="I26">
        <v>2.7190974053726968</v>
      </c>
      <c r="J26">
        <v>1.618033988749989</v>
      </c>
      <c r="L26" s="2">
        <v>16</v>
      </c>
      <c r="M26" s="2">
        <v>1</v>
      </c>
      <c r="N26" s="2">
        <f t="shared" si="1"/>
        <v>1.0000000479661377</v>
      </c>
      <c r="O26" s="2">
        <f t="shared" si="2"/>
        <v>6.9666295470957679E-2</v>
      </c>
      <c r="P26" s="2">
        <f>R26/(R26+$N$6)</f>
        <v>0.69666295470957651</v>
      </c>
      <c r="Q26" s="2">
        <f t="shared" si="0"/>
        <v>1.0000001581281892</v>
      </c>
      <c r="R26" s="2">
        <f>O25+$N$5</f>
        <v>0.22966629547095768</v>
      </c>
    </row>
    <row r="27" spans="5:18" x14ac:dyDescent="0.4">
      <c r="E27">
        <v>2.849999999999997</v>
      </c>
      <c r="F27">
        <v>2.8190981699560704</v>
      </c>
      <c r="G27">
        <v>0.61803398874989679</v>
      </c>
      <c r="H27">
        <v>0.6180339887498969</v>
      </c>
      <c r="I27">
        <v>2.7690979586304243</v>
      </c>
      <c r="J27">
        <v>1.6180339887499087</v>
      </c>
      <c r="L27" s="2">
        <v>17</v>
      </c>
      <c r="M27" s="2">
        <v>1</v>
      </c>
      <c r="N27" s="2">
        <f t="shared" si="1"/>
        <v>1.0000000145499066</v>
      </c>
      <c r="O27" s="2">
        <f t="shared" si="2"/>
        <v>6.9666295470957679E-2</v>
      </c>
      <c r="P27" s="2">
        <f>R27/(R27+$N$6)</f>
        <v>0.69666295470957651</v>
      </c>
      <c r="Q27" s="2">
        <f t="shared" si="0"/>
        <v>1.0000000479661377</v>
      </c>
      <c r="R27" s="2">
        <f>O26+$N$5</f>
        <v>0.22966629547095768</v>
      </c>
    </row>
    <row r="28" spans="5:18" x14ac:dyDescent="0.4">
      <c r="E28">
        <v>2.8999999999999968</v>
      </c>
      <c r="F28">
        <v>2.8690982506752842</v>
      </c>
      <c r="G28">
        <v>0.61803398874989512</v>
      </c>
      <c r="H28">
        <v>0.61803398874989512</v>
      </c>
      <c r="I28">
        <v>2.8190981699560704</v>
      </c>
      <c r="J28">
        <v>1.6180339887498967</v>
      </c>
      <c r="L28" s="2">
        <v>18</v>
      </c>
      <c r="M28" s="2">
        <v>1</v>
      </c>
      <c r="N28" s="2">
        <f t="shared" si="1"/>
        <v>1.0000000044135255</v>
      </c>
      <c r="O28" s="2">
        <f t="shared" si="2"/>
        <v>6.9666295470957679E-2</v>
      </c>
      <c r="P28" s="2">
        <f>R28/(R28+$N$6)</f>
        <v>0.69666295470957651</v>
      </c>
      <c r="Q28" s="2">
        <f t="shared" si="0"/>
        <v>1.0000000145499066</v>
      </c>
      <c r="R28" s="2">
        <f>O27+$N$5</f>
        <v>0.22966629547095768</v>
      </c>
    </row>
    <row r="29" spans="5:18" x14ac:dyDescent="0.4">
      <c r="E29">
        <v>2.9499999999999966</v>
      </c>
      <c r="F29">
        <v>2.9190982815072806</v>
      </c>
      <c r="G29">
        <v>0.6180339887498949</v>
      </c>
      <c r="H29">
        <v>0.6180339887498949</v>
      </c>
      <c r="I29">
        <v>2.8690982506752842</v>
      </c>
      <c r="J29">
        <v>1.6180339887498951</v>
      </c>
      <c r="L29" s="2">
        <v>19</v>
      </c>
      <c r="M29" s="2">
        <v>1</v>
      </c>
      <c r="N29" s="2">
        <f t="shared" si="1"/>
        <v>1.0000000013387857</v>
      </c>
      <c r="O29" s="2">
        <f t="shared" si="2"/>
        <v>6.9666295470957679E-2</v>
      </c>
      <c r="P29" s="2">
        <f>R29/(R29+$N$6)</f>
        <v>0.69666295470957651</v>
      </c>
      <c r="Q29" s="2">
        <f t="shared" si="0"/>
        <v>1.0000000044135255</v>
      </c>
      <c r="R29" s="2">
        <f>O28+$N$5</f>
        <v>0.22966629547095768</v>
      </c>
    </row>
    <row r="30" spans="5:18" x14ac:dyDescent="0.4">
      <c r="E30">
        <v>2.9999999999999964</v>
      </c>
      <c r="F30">
        <v>2.9690982932840546</v>
      </c>
      <c r="G30">
        <v>0.61803398874989479</v>
      </c>
      <c r="H30">
        <v>0.6180339887498949</v>
      </c>
      <c r="I30">
        <v>2.9190982815072806</v>
      </c>
      <c r="J30">
        <v>1.6180339887498949</v>
      </c>
      <c r="L30" s="2">
        <v>20</v>
      </c>
      <c r="M30" s="2">
        <v>1</v>
      </c>
      <c r="N30" s="2">
        <f t="shared" si="1"/>
        <v>1.0000000004061034</v>
      </c>
      <c r="O30" s="2">
        <f t="shared" si="2"/>
        <v>6.9666295470957679E-2</v>
      </c>
      <c r="P30" s="2">
        <f>R30/(R30+$N$6)</f>
        <v>0.69666295470957651</v>
      </c>
      <c r="Q30" s="2">
        <f t="shared" si="0"/>
        <v>1.0000000013387857</v>
      </c>
      <c r="R30" s="2">
        <f>O29+$N$5</f>
        <v>0.22966629547095768</v>
      </c>
    </row>
    <row r="31" spans="5:18" x14ac:dyDescent="0.4">
      <c r="E31">
        <v>3.0499999999999963</v>
      </c>
      <c r="F31">
        <v>3.0190982977823824</v>
      </c>
      <c r="G31">
        <v>0.61803398874989479</v>
      </c>
      <c r="H31">
        <v>0.6180339887498949</v>
      </c>
      <c r="I31">
        <v>2.9690982932840546</v>
      </c>
      <c r="J31">
        <v>1.6180339887498949</v>
      </c>
      <c r="L31" s="2">
        <v>21</v>
      </c>
      <c r="M31" s="2">
        <v>1</v>
      </c>
      <c r="N31" s="2">
        <f t="shared" si="1"/>
        <v>1.0000000001231861</v>
      </c>
      <c r="O31" s="2">
        <f t="shared" si="2"/>
        <v>6.9666295470957679E-2</v>
      </c>
      <c r="P31" s="2">
        <f>R31/(R31+$N$6)</f>
        <v>0.69666295470957651</v>
      </c>
      <c r="Q31" s="2">
        <f t="shared" si="0"/>
        <v>1.0000000004061034</v>
      </c>
      <c r="R31" s="2">
        <f>O30+$N$5</f>
        <v>0.22966629547095768</v>
      </c>
    </row>
    <row r="32" spans="5:18" x14ac:dyDescent="0.4">
      <c r="E32">
        <v>3.0999999999999961</v>
      </c>
      <c r="F32">
        <v>3.0690982995005904</v>
      </c>
      <c r="G32">
        <v>0.61803398874989479</v>
      </c>
      <c r="H32">
        <v>0.6180339887498949</v>
      </c>
      <c r="I32">
        <v>3.0190982977823824</v>
      </c>
      <c r="J32">
        <v>1.6180339887498949</v>
      </c>
      <c r="L32" s="2">
        <v>22</v>
      </c>
      <c r="M32" s="2">
        <v>1</v>
      </c>
      <c r="N32" s="2">
        <f t="shared" si="1"/>
        <v>1.000000000037367</v>
      </c>
      <c r="O32" s="2">
        <f t="shared" si="2"/>
        <v>6.9666295470957679E-2</v>
      </c>
      <c r="P32" s="2">
        <f>R32/(R32+$N$6)</f>
        <v>0.69666295470957651</v>
      </c>
      <c r="Q32" s="2">
        <f t="shared" si="0"/>
        <v>1.0000000001231861</v>
      </c>
      <c r="R32" s="2">
        <f>O31+$N$5</f>
        <v>0.22966629547095768</v>
      </c>
    </row>
    <row r="33" spans="5:18" x14ac:dyDescent="0.4">
      <c r="E33">
        <v>3.1499999999999959</v>
      </c>
      <c r="F33">
        <v>3.1190983001568875</v>
      </c>
      <c r="G33">
        <v>0.61803398874989479</v>
      </c>
      <c r="H33">
        <v>0.6180339887498949</v>
      </c>
      <c r="I33">
        <v>3.0690982995005904</v>
      </c>
      <c r="J33">
        <v>1.6180339887498949</v>
      </c>
      <c r="L33" s="2">
        <v>23</v>
      </c>
      <c r="M33" s="2">
        <v>1</v>
      </c>
      <c r="N33" s="2">
        <f t="shared" si="1"/>
        <v>1.0000000000113349</v>
      </c>
      <c r="O33" s="2">
        <f t="shared" si="2"/>
        <v>6.9666295470957679E-2</v>
      </c>
      <c r="P33" s="2">
        <f>R33/(R33+$N$6)</f>
        <v>0.69666295470957651</v>
      </c>
      <c r="Q33" s="2">
        <f t="shared" si="0"/>
        <v>1.000000000037367</v>
      </c>
      <c r="R33" s="2">
        <f>O32+$N$5</f>
        <v>0.22966629547095768</v>
      </c>
    </row>
    <row r="34" spans="5:18" x14ac:dyDescent="0.4">
      <c r="E34">
        <v>3.1999999999999957</v>
      </c>
      <c r="F34">
        <v>3.1690983004075708</v>
      </c>
      <c r="G34">
        <v>0.61803398874989479</v>
      </c>
      <c r="H34">
        <v>0.6180339887498949</v>
      </c>
      <c r="I34">
        <v>3.1190983001568875</v>
      </c>
      <c r="J34">
        <v>1.6180339887498949</v>
      </c>
      <c r="L34" s="2">
        <v>24</v>
      </c>
      <c r="M34" s="2">
        <v>1</v>
      </c>
      <c r="N34" s="2">
        <f t="shared" si="1"/>
        <v>1.0000000000034384</v>
      </c>
      <c r="O34" s="2">
        <f t="shared" si="2"/>
        <v>6.9666295470957679E-2</v>
      </c>
      <c r="P34" s="2">
        <f>R34/(R34+$N$6)</f>
        <v>0.69666295470957651</v>
      </c>
      <c r="Q34" s="2">
        <f t="shared" si="0"/>
        <v>1.0000000000113349</v>
      </c>
      <c r="R34" s="2">
        <f>O33+$N$5</f>
        <v>0.22966629547095768</v>
      </c>
    </row>
    <row r="35" spans="5:18" x14ac:dyDescent="0.4">
      <c r="E35">
        <v>3.2499999999999956</v>
      </c>
      <c r="F35">
        <v>3.2190983005033229</v>
      </c>
      <c r="G35">
        <v>0.61803398874989479</v>
      </c>
      <c r="H35">
        <v>0.6180339887498949</v>
      </c>
      <c r="I35">
        <v>3.1690983004075708</v>
      </c>
      <c r="J35">
        <v>1.6180339887498949</v>
      </c>
      <c r="L35" s="2">
        <v>25</v>
      </c>
      <c r="M35" s="2">
        <v>1</v>
      </c>
      <c r="N35" s="2">
        <f t="shared" si="1"/>
        <v>1.0000000000010429</v>
      </c>
      <c r="O35" s="2">
        <f t="shared" si="2"/>
        <v>6.9666295470957679E-2</v>
      </c>
      <c r="P35" s="2">
        <f>R35/(R35+$N$6)</f>
        <v>0.69666295470957651</v>
      </c>
      <c r="Q35" s="2">
        <f t="shared" si="0"/>
        <v>1.0000000000034384</v>
      </c>
      <c r="R35" s="2">
        <f>O34+$N$5</f>
        <v>0.22966629547095768</v>
      </c>
    </row>
    <row r="36" spans="5:18" x14ac:dyDescent="0.4">
      <c r="E36">
        <v>3.2999999999999954</v>
      </c>
      <c r="F36">
        <v>3.2690983005398966</v>
      </c>
      <c r="G36">
        <v>0.61803398874989479</v>
      </c>
      <c r="H36">
        <v>0.6180339887498949</v>
      </c>
      <c r="I36">
        <v>3.2190983005033229</v>
      </c>
      <c r="J36">
        <v>1.6180339887498949</v>
      </c>
      <c r="L36" s="2">
        <v>26</v>
      </c>
      <c r="M36" s="2">
        <v>1</v>
      </c>
      <c r="N36" s="2">
        <f t="shared" si="1"/>
        <v>1.0000000000003164</v>
      </c>
      <c r="O36" s="2">
        <f t="shared" si="2"/>
        <v>6.9666295470957679E-2</v>
      </c>
      <c r="P36" s="2">
        <f>R36/(R36+$N$6)</f>
        <v>0.69666295470957651</v>
      </c>
      <c r="Q36" s="2">
        <f t="shared" si="0"/>
        <v>1.0000000000010429</v>
      </c>
      <c r="R36" s="2">
        <f>O35+$N$5</f>
        <v>0.22966629547095768</v>
      </c>
    </row>
    <row r="37" spans="5:18" x14ac:dyDescent="0.4">
      <c r="E37">
        <v>3.3499999999999952</v>
      </c>
      <c r="F37">
        <v>3.3190983005538666</v>
      </c>
      <c r="G37">
        <v>0.61803398874989479</v>
      </c>
      <c r="H37">
        <v>0.6180339887498949</v>
      </c>
      <c r="I37">
        <v>3.2690983005398966</v>
      </c>
      <c r="J37">
        <v>1.6180339887498949</v>
      </c>
      <c r="L37" s="2">
        <v>27</v>
      </c>
      <c r="M37" s="2">
        <v>1</v>
      </c>
      <c r="N37" s="2">
        <f t="shared" si="1"/>
        <v>1.0000000000000959</v>
      </c>
      <c r="O37" s="2">
        <f t="shared" si="2"/>
        <v>6.9666295470957679E-2</v>
      </c>
      <c r="P37" s="2">
        <f>R37/(R37+$N$6)</f>
        <v>0.69666295470957651</v>
      </c>
      <c r="Q37" s="2">
        <f t="shared" si="0"/>
        <v>1.0000000000003164</v>
      </c>
      <c r="R37" s="2">
        <f>O36+$N$5</f>
        <v>0.22966629547095768</v>
      </c>
    </row>
    <row r="38" spans="5:18" x14ac:dyDescent="0.4">
      <c r="E38">
        <v>3.399999999999995</v>
      </c>
      <c r="F38">
        <v>3.3690983005592026</v>
      </c>
      <c r="G38">
        <v>0.61803398874989479</v>
      </c>
      <c r="H38">
        <v>0.6180339887498949</v>
      </c>
      <c r="I38">
        <v>3.3190983005538666</v>
      </c>
      <c r="J38">
        <v>1.6180339887498949</v>
      </c>
      <c r="L38" s="2">
        <v>28</v>
      </c>
      <c r="M38" s="2">
        <v>1</v>
      </c>
      <c r="N38" s="2">
        <f t="shared" si="1"/>
        <v>1.0000000000000291</v>
      </c>
      <c r="O38" s="2">
        <f t="shared" si="2"/>
        <v>6.9666295470957679E-2</v>
      </c>
      <c r="P38" s="2">
        <f>R38/(R38+$N$6)</f>
        <v>0.69666295470957651</v>
      </c>
      <c r="Q38" s="2">
        <f t="shared" si="0"/>
        <v>1.0000000000000959</v>
      </c>
      <c r="R38" s="2">
        <f>O37+$N$5</f>
        <v>0.22966629547095768</v>
      </c>
    </row>
    <row r="39" spans="5:18" x14ac:dyDescent="0.4">
      <c r="E39">
        <v>3.4499999999999948</v>
      </c>
      <c r="F39">
        <v>3.4190983005612408</v>
      </c>
      <c r="G39">
        <v>0.61803398874989479</v>
      </c>
      <c r="H39">
        <v>0.6180339887498949</v>
      </c>
      <c r="I39">
        <v>3.3690983005592026</v>
      </c>
      <c r="J39">
        <v>1.6180339887498949</v>
      </c>
      <c r="L39" s="2">
        <v>29</v>
      </c>
      <c r="M39" s="2">
        <v>1</v>
      </c>
      <c r="N39" s="2">
        <f t="shared" si="1"/>
        <v>1.0000000000000089</v>
      </c>
      <c r="O39" s="2">
        <f t="shared" si="2"/>
        <v>6.9666295470957679E-2</v>
      </c>
      <c r="P39" s="2">
        <f>R39/(R39+$N$6)</f>
        <v>0.69666295470957651</v>
      </c>
      <c r="Q39" s="2">
        <f t="shared" si="0"/>
        <v>1.0000000000000291</v>
      </c>
      <c r="R39" s="2">
        <f>O38+$N$5</f>
        <v>0.22966629547095768</v>
      </c>
    </row>
    <row r="40" spans="5:18" x14ac:dyDescent="0.4">
      <c r="E40">
        <v>3.4999999999999947</v>
      </c>
      <c r="F40">
        <v>3.4690983005620191</v>
      </c>
      <c r="G40">
        <v>0.61803398874989479</v>
      </c>
      <c r="H40">
        <v>0.6180339887498949</v>
      </c>
      <c r="I40">
        <v>3.4190983005612408</v>
      </c>
      <c r="J40">
        <v>1.6180339887498949</v>
      </c>
      <c r="L40" s="2">
        <v>30</v>
      </c>
      <c r="M40" s="2">
        <v>1</v>
      </c>
      <c r="N40" s="2">
        <f t="shared" si="1"/>
        <v>1.0000000000000027</v>
      </c>
      <c r="O40" s="2">
        <f t="shared" si="2"/>
        <v>6.9666295470957679E-2</v>
      </c>
      <c r="P40" s="2">
        <f>R40/(R40+$N$6)</f>
        <v>0.69666295470957651</v>
      </c>
      <c r="Q40" s="2">
        <f t="shared" si="0"/>
        <v>1.0000000000000089</v>
      </c>
      <c r="R40" s="2">
        <f>O39+$N$5</f>
        <v>0.22966629547095768</v>
      </c>
    </row>
    <row r="41" spans="5:18" x14ac:dyDescent="0.4">
      <c r="E41">
        <v>3.5499999999999945</v>
      </c>
      <c r="F41">
        <v>3.5190983005623164</v>
      </c>
      <c r="G41">
        <v>0.61803398874989479</v>
      </c>
      <c r="H41">
        <v>0.6180339887498949</v>
      </c>
      <c r="I41">
        <v>3.4690983005620191</v>
      </c>
      <c r="J41">
        <v>1.6180339887498949</v>
      </c>
      <c r="L41" s="2">
        <v>31</v>
      </c>
      <c r="M41" s="2">
        <v>1</v>
      </c>
      <c r="N41" s="2">
        <f t="shared" si="1"/>
        <v>1.0000000000000009</v>
      </c>
      <c r="O41" s="2">
        <f t="shared" si="2"/>
        <v>6.9666295470957679E-2</v>
      </c>
      <c r="P41" s="2">
        <f>R41/(R41+$N$6)</f>
        <v>0.69666295470957651</v>
      </c>
      <c r="Q41" s="2">
        <f t="shared" si="0"/>
        <v>1.0000000000000027</v>
      </c>
      <c r="R41" s="2">
        <f>O40+$N$5</f>
        <v>0.22966629547095768</v>
      </c>
    </row>
    <row r="42" spans="5:18" x14ac:dyDescent="0.4">
      <c r="E42">
        <v>3.5999999999999943</v>
      </c>
      <c r="F42">
        <v>3.5690983005624295</v>
      </c>
      <c r="G42">
        <v>0.61803398874989479</v>
      </c>
      <c r="H42">
        <v>0.6180339887498949</v>
      </c>
      <c r="I42">
        <v>3.5190983005623164</v>
      </c>
      <c r="J42">
        <v>1.6180339887498949</v>
      </c>
      <c r="L42" s="2">
        <v>32</v>
      </c>
      <c r="M42" s="2">
        <v>1</v>
      </c>
      <c r="N42" s="2">
        <f t="shared" si="1"/>
        <v>1.0000000000000002</v>
      </c>
      <c r="O42" s="2">
        <f t="shared" si="2"/>
        <v>6.9666295470957679E-2</v>
      </c>
      <c r="P42" s="2">
        <f>R42/(R42+$N$6)</f>
        <v>0.69666295470957651</v>
      </c>
      <c r="Q42" s="2">
        <f t="shared" si="0"/>
        <v>1.0000000000000009</v>
      </c>
      <c r="R42" s="2">
        <f>O41+$N$5</f>
        <v>0.22966629547095768</v>
      </c>
    </row>
    <row r="43" spans="5:18" x14ac:dyDescent="0.4">
      <c r="E43">
        <v>3.6499999999999941</v>
      </c>
      <c r="F43">
        <v>3.6190983005624728</v>
      </c>
      <c r="G43">
        <v>0.61803398874989479</v>
      </c>
      <c r="H43">
        <v>0.6180339887498949</v>
      </c>
      <c r="I43">
        <v>3.5690983005624295</v>
      </c>
      <c r="J43">
        <v>1.6180339887498949</v>
      </c>
      <c r="L43" s="2">
        <v>33</v>
      </c>
      <c r="M43" s="2">
        <v>1</v>
      </c>
      <c r="N43" s="2">
        <f t="shared" si="1"/>
        <v>1</v>
      </c>
      <c r="O43" s="2">
        <f t="shared" si="2"/>
        <v>6.9666295470957679E-2</v>
      </c>
      <c r="P43" s="2">
        <f>R43/(R43+$N$6)</f>
        <v>0.69666295470957651</v>
      </c>
      <c r="Q43" s="2">
        <f t="shared" si="0"/>
        <v>1.0000000000000002</v>
      </c>
      <c r="R43" s="2">
        <f>O42+$N$5</f>
        <v>0.22966629547095768</v>
      </c>
    </row>
    <row r="44" spans="5:18" x14ac:dyDescent="0.4">
      <c r="E44">
        <v>3.699999999999994</v>
      </c>
      <c r="F44">
        <v>3.6690983005624886</v>
      </c>
      <c r="G44">
        <v>0.61803398874989479</v>
      </c>
      <c r="H44">
        <v>0.6180339887498949</v>
      </c>
      <c r="I44">
        <v>3.6190983005624728</v>
      </c>
      <c r="J44">
        <v>1.6180339887498949</v>
      </c>
      <c r="L44" s="2">
        <v>34</v>
      </c>
      <c r="M44" s="2">
        <v>1</v>
      </c>
      <c r="N44" s="2">
        <f t="shared" si="1"/>
        <v>1</v>
      </c>
      <c r="O44" s="2">
        <f t="shared" si="2"/>
        <v>6.9666295470957679E-2</v>
      </c>
      <c r="P44" s="2">
        <f>R44/(R44+$N$6)</f>
        <v>0.69666295470957651</v>
      </c>
      <c r="Q44" s="2">
        <f t="shared" si="0"/>
        <v>1</v>
      </c>
      <c r="R44" s="2">
        <f>O43+$N$5</f>
        <v>0.22966629547095768</v>
      </c>
    </row>
    <row r="45" spans="5:18" x14ac:dyDescent="0.4">
      <c r="E45">
        <v>3.7499999999999938</v>
      </c>
      <c r="F45">
        <v>3.7190983005624947</v>
      </c>
      <c r="G45">
        <v>0.61803398874989479</v>
      </c>
      <c r="H45">
        <v>0.6180339887498949</v>
      </c>
      <c r="I45">
        <v>3.6690983005624886</v>
      </c>
      <c r="J45">
        <v>1.6180339887498949</v>
      </c>
      <c r="L45" s="2">
        <v>35</v>
      </c>
      <c r="M45" s="2">
        <v>1</v>
      </c>
      <c r="N45" s="2">
        <f t="shared" si="1"/>
        <v>1</v>
      </c>
      <c r="O45" s="2">
        <f t="shared" si="2"/>
        <v>6.9666295470957679E-2</v>
      </c>
      <c r="P45" s="2">
        <f>R45/(R45+$N$6)</f>
        <v>0.69666295470957651</v>
      </c>
      <c r="Q45" s="2">
        <f t="shared" si="0"/>
        <v>1</v>
      </c>
      <c r="R45" s="2">
        <f>O44+$N$5</f>
        <v>0.22966629547095768</v>
      </c>
    </row>
    <row r="46" spans="5:18" x14ac:dyDescent="0.4">
      <c r="E46">
        <v>3.7999999999999936</v>
      </c>
      <c r="F46">
        <v>3.7690983005624972</v>
      </c>
      <c r="G46">
        <v>0.61803398874989479</v>
      </c>
      <c r="H46">
        <v>0.6180339887498949</v>
      </c>
      <c r="I46">
        <v>3.7190983005624947</v>
      </c>
      <c r="J46">
        <v>1.6180339887498949</v>
      </c>
      <c r="L46" s="2">
        <v>36</v>
      </c>
      <c r="M46" s="2">
        <v>1</v>
      </c>
      <c r="N46" s="2">
        <f t="shared" si="1"/>
        <v>1</v>
      </c>
      <c r="O46" s="2">
        <f t="shared" si="2"/>
        <v>6.9666295470957679E-2</v>
      </c>
      <c r="P46" s="2">
        <f>R46/(R46+$N$6)</f>
        <v>0.69666295470957651</v>
      </c>
      <c r="Q46" s="2">
        <f t="shared" si="0"/>
        <v>1</v>
      </c>
      <c r="R46" s="2">
        <f>O45+$N$5</f>
        <v>0.22966629547095768</v>
      </c>
    </row>
    <row r="47" spans="5:18" x14ac:dyDescent="0.4">
      <c r="E47">
        <v>3.8499999999999934</v>
      </c>
      <c r="F47">
        <v>3.8190983005624979</v>
      </c>
      <c r="G47">
        <v>0.61803398874989479</v>
      </c>
      <c r="H47">
        <v>0.6180339887498949</v>
      </c>
      <c r="I47">
        <v>3.7690983005624972</v>
      </c>
      <c r="J47">
        <v>1.6180339887498949</v>
      </c>
      <c r="L47" s="2">
        <v>37</v>
      </c>
      <c r="M47" s="2">
        <v>1</v>
      </c>
      <c r="N47" s="2">
        <f t="shared" si="1"/>
        <v>1</v>
      </c>
      <c r="O47" s="2">
        <f t="shared" si="2"/>
        <v>6.9666295470957679E-2</v>
      </c>
      <c r="P47" s="2">
        <f>R47/(R47+$N$6)</f>
        <v>0.69666295470957651</v>
      </c>
      <c r="Q47" s="2">
        <f t="shared" si="0"/>
        <v>1</v>
      </c>
      <c r="R47" s="2">
        <f>O46+$N$5</f>
        <v>0.22966629547095768</v>
      </c>
    </row>
    <row r="48" spans="5:18" x14ac:dyDescent="0.4">
      <c r="E48">
        <v>3.8999999999999932</v>
      </c>
      <c r="F48">
        <v>3.8690983005624981</v>
      </c>
      <c r="G48">
        <v>0.61803398874989479</v>
      </c>
      <c r="H48">
        <v>0.6180339887498949</v>
      </c>
      <c r="I48">
        <v>3.8190983005624979</v>
      </c>
      <c r="J48">
        <v>1.6180339887498949</v>
      </c>
      <c r="L48" s="2">
        <v>38</v>
      </c>
      <c r="M48" s="2">
        <v>1</v>
      </c>
      <c r="N48" s="2">
        <f t="shared" si="1"/>
        <v>1</v>
      </c>
      <c r="O48" s="2">
        <f t="shared" si="2"/>
        <v>6.9666295470957679E-2</v>
      </c>
      <c r="P48" s="2">
        <f>R48/(R48+$N$6)</f>
        <v>0.69666295470957651</v>
      </c>
      <c r="Q48" s="2">
        <f t="shared" si="0"/>
        <v>1</v>
      </c>
      <c r="R48" s="2">
        <f>O47+$N$5</f>
        <v>0.22966629547095768</v>
      </c>
    </row>
    <row r="49" spans="5:18" x14ac:dyDescent="0.4">
      <c r="E49">
        <v>3.9499999999999931</v>
      </c>
      <c r="F49">
        <v>3.9190983005624984</v>
      </c>
      <c r="G49">
        <v>0.61803398874989479</v>
      </c>
      <c r="H49">
        <v>0.6180339887498949</v>
      </c>
      <c r="I49">
        <v>3.8690983005624981</v>
      </c>
      <c r="J49">
        <v>1.6180339887498949</v>
      </c>
      <c r="L49" s="2">
        <v>39</v>
      </c>
      <c r="M49" s="2">
        <v>1</v>
      </c>
      <c r="N49" s="2">
        <f t="shared" si="1"/>
        <v>1</v>
      </c>
      <c r="O49" s="2">
        <f t="shared" si="2"/>
        <v>6.9666295470957679E-2</v>
      </c>
      <c r="P49" s="2">
        <f>R49/(R49+$N$6)</f>
        <v>0.69666295470957651</v>
      </c>
      <c r="Q49" s="2">
        <f t="shared" si="0"/>
        <v>1</v>
      </c>
      <c r="R49" s="2">
        <f>O48+$N$5</f>
        <v>0.22966629547095768</v>
      </c>
    </row>
    <row r="50" spans="5:18" x14ac:dyDescent="0.4">
      <c r="E50">
        <v>3.9999999999999929</v>
      </c>
      <c r="F50">
        <v>3.9690983005624982</v>
      </c>
      <c r="G50">
        <v>0.61803398874989479</v>
      </c>
      <c r="H50">
        <v>0.6180339887498949</v>
      </c>
      <c r="I50">
        <v>3.9190983005624984</v>
      </c>
      <c r="J50">
        <v>1.6180339887498949</v>
      </c>
      <c r="L50" s="2">
        <v>40</v>
      </c>
      <c r="M50" s="2">
        <v>1</v>
      </c>
      <c r="N50" s="2">
        <f t="shared" si="1"/>
        <v>1</v>
      </c>
      <c r="O50" s="2">
        <f t="shared" si="2"/>
        <v>6.9666295470957679E-2</v>
      </c>
      <c r="P50" s="2">
        <f>R50/(R50+$N$6)</f>
        <v>0.69666295470957651</v>
      </c>
      <c r="Q50" s="2">
        <f t="shared" si="0"/>
        <v>1</v>
      </c>
      <c r="R50" s="2">
        <f>O49+$N$5</f>
        <v>0.22966629547095768</v>
      </c>
    </row>
    <row r="51" spans="5:18" x14ac:dyDescent="0.4">
      <c r="E51">
        <v>4.0499999999999927</v>
      </c>
      <c r="F51">
        <v>4.0190983005624981</v>
      </c>
      <c r="G51">
        <v>0.61803398874989479</v>
      </c>
      <c r="H51">
        <v>0.6180339887498949</v>
      </c>
      <c r="I51">
        <v>3.9690983005624982</v>
      </c>
      <c r="J51">
        <v>1.6180339887498949</v>
      </c>
      <c r="L51" s="2">
        <v>41</v>
      </c>
      <c r="M51" s="2">
        <v>1</v>
      </c>
      <c r="N51" s="2">
        <f t="shared" si="1"/>
        <v>1</v>
      </c>
      <c r="O51" s="2">
        <f t="shared" si="2"/>
        <v>6.9666295470957679E-2</v>
      </c>
      <c r="P51" s="2">
        <f>R51/(R51+$N$6)</f>
        <v>0.69666295470957651</v>
      </c>
      <c r="Q51" s="2">
        <f t="shared" si="0"/>
        <v>1</v>
      </c>
      <c r="R51" s="2">
        <f>O50+$N$5</f>
        <v>0.22966629547095768</v>
      </c>
    </row>
    <row r="52" spans="5:18" x14ac:dyDescent="0.4">
      <c r="E52">
        <v>4.0999999999999925</v>
      </c>
      <c r="F52">
        <v>4.0690983005624979</v>
      </c>
      <c r="G52">
        <v>0.61803398874989479</v>
      </c>
      <c r="H52">
        <v>0.6180339887498949</v>
      </c>
      <c r="I52">
        <v>4.0190983005624981</v>
      </c>
      <c r="J52">
        <v>1.6180339887498949</v>
      </c>
      <c r="L52" s="2">
        <v>42</v>
      </c>
      <c r="M52" s="2">
        <v>1</v>
      </c>
      <c r="N52" s="2">
        <f t="shared" si="1"/>
        <v>1</v>
      </c>
      <c r="O52" s="2">
        <f t="shared" si="2"/>
        <v>6.9666295470957679E-2</v>
      </c>
      <c r="P52" s="2">
        <f>R52/(R52+$N$6)</f>
        <v>0.69666295470957651</v>
      </c>
      <c r="Q52" s="2">
        <f t="shared" si="0"/>
        <v>1</v>
      </c>
      <c r="R52" s="2">
        <f>O51+$N$5</f>
        <v>0.22966629547095768</v>
      </c>
    </row>
    <row r="53" spans="5:18" x14ac:dyDescent="0.4">
      <c r="E53">
        <v>4.1499999999999924</v>
      </c>
      <c r="F53">
        <v>4.1190983005624977</v>
      </c>
      <c r="G53">
        <v>0.61803398874989479</v>
      </c>
      <c r="H53">
        <v>0.6180339887498949</v>
      </c>
      <c r="I53">
        <v>4.0690983005624979</v>
      </c>
      <c r="J53">
        <v>1.6180339887498949</v>
      </c>
      <c r="L53" s="2">
        <v>43</v>
      </c>
      <c r="M53" s="2">
        <v>1</v>
      </c>
      <c r="N53" s="2">
        <f t="shared" si="1"/>
        <v>1</v>
      </c>
      <c r="O53" s="2">
        <f t="shared" si="2"/>
        <v>6.9666295470957679E-2</v>
      </c>
      <c r="P53" s="2">
        <f>R53/(R53+$N$6)</f>
        <v>0.69666295470957651</v>
      </c>
      <c r="Q53" s="2">
        <f t="shared" si="0"/>
        <v>1</v>
      </c>
      <c r="R53" s="2">
        <f>O52+$N$5</f>
        <v>0.22966629547095768</v>
      </c>
    </row>
    <row r="54" spans="5:18" x14ac:dyDescent="0.4">
      <c r="E54">
        <v>4.1999999999999922</v>
      </c>
      <c r="F54">
        <v>4.1690983005624975</v>
      </c>
      <c r="G54">
        <v>0.61803398874989479</v>
      </c>
      <c r="H54">
        <v>0.6180339887498949</v>
      </c>
      <c r="I54">
        <v>4.1190983005624977</v>
      </c>
      <c r="J54">
        <v>1.6180339887498949</v>
      </c>
      <c r="L54" s="2">
        <v>44</v>
      </c>
      <c r="M54" s="2">
        <v>1</v>
      </c>
      <c r="N54" s="2">
        <f t="shared" si="1"/>
        <v>1</v>
      </c>
      <c r="O54" s="2">
        <f t="shared" si="2"/>
        <v>6.9666295470957679E-2</v>
      </c>
      <c r="P54" s="2">
        <f>R54/(R54+$N$6)</f>
        <v>0.69666295470957651</v>
      </c>
      <c r="Q54" s="2">
        <f t="shared" si="0"/>
        <v>1</v>
      </c>
      <c r="R54" s="2">
        <f>O53+$N$5</f>
        <v>0.22966629547095768</v>
      </c>
    </row>
    <row r="55" spans="5:18" x14ac:dyDescent="0.4">
      <c r="E55">
        <v>4.249999999999992</v>
      </c>
      <c r="F55">
        <v>4.2190983005624974</v>
      </c>
      <c r="G55">
        <v>0.61803398874989479</v>
      </c>
      <c r="H55">
        <v>0.6180339887498949</v>
      </c>
      <c r="I55">
        <v>4.1690983005624975</v>
      </c>
      <c r="J55">
        <v>1.6180339887498949</v>
      </c>
      <c r="L55" s="2">
        <v>45</v>
      </c>
      <c r="M55" s="2">
        <v>1</v>
      </c>
      <c r="N55" s="2">
        <f t="shared" si="1"/>
        <v>1</v>
      </c>
      <c r="O55" s="2">
        <f t="shared" si="2"/>
        <v>6.9666295470957679E-2</v>
      </c>
      <c r="P55" s="2">
        <f>R55/(R55+$N$6)</f>
        <v>0.69666295470957651</v>
      </c>
      <c r="Q55" s="2">
        <f t="shared" si="0"/>
        <v>1</v>
      </c>
      <c r="R55" s="2">
        <f>O54+$N$5</f>
        <v>0.22966629547095768</v>
      </c>
    </row>
    <row r="56" spans="5:18" x14ac:dyDescent="0.4">
      <c r="E56">
        <v>4.2999999999999918</v>
      </c>
      <c r="F56">
        <v>4.2690983005624972</v>
      </c>
      <c r="G56">
        <v>0.61803398874989479</v>
      </c>
      <c r="H56">
        <v>0.6180339887498949</v>
      </c>
      <c r="I56">
        <v>4.2190983005624974</v>
      </c>
      <c r="J56">
        <v>1.6180339887498949</v>
      </c>
      <c r="L56" s="2">
        <v>46</v>
      </c>
      <c r="M56" s="2">
        <v>1</v>
      </c>
      <c r="N56" s="2">
        <f t="shared" si="1"/>
        <v>1</v>
      </c>
      <c r="O56" s="2">
        <f t="shared" si="2"/>
        <v>6.9666295470957679E-2</v>
      </c>
      <c r="P56" s="2">
        <f>R56/(R56+$N$6)</f>
        <v>0.69666295470957651</v>
      </c>
      <c r="Q56" s="2">
        <f t="shared" si="0"/>
        <v>1</v>
      </c>
      <c r="R56" s="2">
        <f>O55+$N$5</f>
        <v>0.22966629547095768</v>
      </c>
    </row>
    <row r="57" spans="5:18" x14ac:dyDescent="0.4">
      <c r="E57">
        <v>4.3499999999999917</v>
      </c>
      <c r="F57">
        <v>4.319098300562497</v>
      </c>
      <c r="G57">
        <v>0.61803398874989479</v>
      </c>
      <c r="H57">
        <v>0.6180339887498949</v>
      </c>
      <c r="I57">
        <v>4.2690983005624972</v>
      </c>
      <c r="J57">
        <v>1.6180339887498949</v>
      </c>
      <c r="L57" s="2">
        <v>47</v>
      </c>
      <c r="M57" s="2">
        <v>1</v>
      </c>
      <c r="N57" s="2">
        <f t="shared" si="1"/>
        <v>1</v>
      </c>
      <c r="O57" s="2">
        <f t="shared" si="2"/>
        <v>6.9666295470957679E-2</v>
      </c>
      <c r="P57" s="2">
        <f>R57/(R57+$N$6)</f>
        <v>0.69666295470957651</v>
      </c>
      <c r="Q57" s="2">
        <f t="shared" si="0"/>
        <v>1</v>
      </c>
      <c r="R57" s="2">
        <f>O56+$N$5</f>
        <v>0.22966629547095768</v>
      </c>
    </row>
    <row r="58" spans="5:18" x14ac:dyDescent="0.4">
      <c r="E58">
        <v>4.3999999999999915</v>
      </c>
      <c r="F58">
        <v>4.3690983005624968</v>
      </c>
      <c r="G58">
        <v>0.61803398874989479</v>
      </c>
      <c r="H58">
        <v>0.6180339887498949</v>
      </c>
      <c r="I58">
        <v>4.319098300562497</v>
      </c>
      <c r="J58">
        <v>1.6180339887498949</v>
      </c>
      <c r="L58" s="2">
        <v>48</v>
      </c>
      <c r="M58" s="2">
        <v>1</v>
      </c>
      <c r="N58" s="2">
        <f t="shared" si="1"/>
        <v>1</v>
      </c>
      <c r="O58" s="2">
        <f t="shared" si="2"/>
        <v>6.9666295470957679E-2</v>
      </c>
      <c r="P58" s="2">
        <f>R58/(R58+$N$6)</f>
        <v>0.69666295470957651</v>
      </c>
      <c r="Q58" s="2">
        <f t="shared" si="0"/>
        <v>1</v>
      </c>
      <c r="R58" s="2">
        <f>O57+$N$5</f>
        <v>0.22966629547095768</v>
      </c>
    </row>
    <row r="59" spans="5:18" x14ac:dyDescent="0.4">
      <c r="E59">
        <v>4.4499999999999913</v>
      </c>
      <c r="F59">
        <v>4.4190983005624966</v>
      </c>
      <c r="G59">
        <v>0.61803398874989479</v>
      </c>
      <c r="H59">
        <v>0.6180339887498949</v>
      </c>
      <c r="I59">
        <v>4.3690983005624968</v>
      </c>
      <c r="J59">
        <v>1.6180339887498949</v>
      </c>
      <c r="L59" s="2">
        <v>49</v>
      </c>
      <c r="M59" s="2">
        <v>1</v>
      </c>
      <c r="N59" s="2">
        <f t="shared" si="1"/>
        <v>1</v>
      </c>
      <c r="O59" s="2">
        <f t="shared" si="2"/>
        <v>6.9666295470957679E-2</v>
      </c>
      <c r="P59" s="2">
        <f>R59/(R59+$N$6)</f>
        <v>0.69666295470957651</v>
      </c>
      <c r="Q59" s="2">
        <f t="shared" si="0"/>
        <v>1</v>
      </c>
      <c r="R59" s="2">
        <f>O58+$N$5</f>
        <v>0.22966629547095768</v>
      </c>
    </row>
    <row r="60" spans="5:18" x14ac:dyDescent="0.4">
      <c r="E60">
        <v>4.4999999999999911</v>
      </c>
      <c r="F60">
        <v>4.4690983005624965</v>
      </c>
      <c r="G60">
        <v>0.61803398874989479</v>
      </c>
      <c r="H60">
        <v>0.6180339887498949</v>
      </c>
      <c r="I60">
        <v>4.4190983005624966</v>
      </c>
      <c r="J60">
        <v>1.6180339887498949</v>
      </c>
      <c r="L60" s="2">
        <v>50</v>
      </c>
      <c r="M60" s="2">
        <v>1</v>
      </c>
      <c r="N60" s="2">
        <f t="shared" si="1"/>
        <v>1</v>
      </c>
      <c r="O60" s="2">
        <f t="shared" si="2"/>
        <v>6.9666295470957679E-2</v>
      </c>
      <c r="P60" s="2">
        <f>R60/(R60+$N$6)</f>
        <v>0.69666295470957651</v>
      </c>
      <c r="Q60" s="2">
        <f t="shared" si="0"/>
        <v>1</v>
      </c>
      <c r="R60" s="2">
        <f>O59+$N$5</f>
        <v>0.22966629547095768</v>
      </c>
    </row>
    <row r="61" spans="5:18" x14ac:dyDescent="0.4">
      <c r="E61">
        <v>4.5499999999999909</v>
      </c>
      <c r="F61">
        <v>4.5190983005624963</v>
      </c>
      <c r="G61">
        <v>0.61803398874989479</v>
      </c>
      <c r="H61">
        <v>0.6180339887498949</v>
      </c>
      <c r="I61">
        <v>4.4690983005624965</v>
      </c>
      <c r="J61">
        <v>1.6180339887498949</v>
      </c>
      <c r="L61" s="2">
        <v>51</v>
      </c>
      <c r="M61" s="2">
        <v>1</v>
      </c>
      <c r="N61" s="2">
        <f t="shared" si="1"/>
        <v>1</v>
      </c>
      <c r="O61" s="2">
        <f t="shared" si="2"/>
        <v>6.9666295470957679E-2</v>
      </c>
      <c r="P61" s="2">
        <f>R61/(R61+$N$6)</f>
        <v>0.69666295470957651</v>
      </c>
      <c r="Q61" s="2">
        <f t="shared" si="0"/>
        <v>1</v>
      </c>
      <c r="R61" s="2">
        <f>O60+$N$5</f>
        <v>0.22966629547095768</v>
      </c>
    </row>
    <row r="62" spans="5:18" x14ac:dyDescent="0.4">
      <c r="E62">
        <v>4.5999999999999908</v>
      </c>
      <c r="F62">
        <v>4.5690983005624961</v>
      </c>
      <c r="G62">
        <v>0.61803398874989479</v>
      </c>
      <c r="H62">
        <v>0.6180339887498949</v>
      </c>
      <c r="I62">
        <v>4.5190983005624963</v>
      </c>
      <c r="J62">
        <v>1.6180339887498949</v>
      </c>
      <c r="L62" s="2">
        <v>52</v>
      </c>
      <c r="M62" s="2">
        <v>1</v>
      </c>
      <c r="N62" s="2">
        <f t="shared" si="1"/>
        <v>1</v>
      </c>
      <c r="O62" s="2">
        <f t="shared" si="2"/>
        <v>6.9666295470957679E-2</v>
      </c>
      <c r="P62" s="2">
        <f>R62/(R62+$N$6)</f>
        <v>0.69666295470957651</v>
      </c>
      <c r="Q62" s="2">
        <f t="shared" si="0"/>
        <v>1</v>
      </c>
      <c r="R62" s="2">
        <f>O61+$N$5</f>
        <v>0.22966629547095768</v>
      </c>
    </row>
    <row r="63" spans="5:18" x14ac:dyDescent="0.4">
      <c r="E63">
        <v>4.6499999999999906</v>
      </c>
      <c r="F63">
        <v>4.6190983005624959</v>
      </c>
      <c r="G63">
        <v>0.61803398874989479</v>
      </c>
      <c r="H63">
        <v>0.6180339887498949</v>
      </c>
      <c r="I63">
        <v>4.5690983005624961</v>
      </c>
      <c r="J63">
        <v>1.6180339887498949</v>
      </c>
      <c r="L63" s="2">
        <v>53</v>
      </c>
      <c r="M63" s="2">
        <v>1</v>
      </c>
      <c r="N63" s="2">
        <f t="shared" si="1"/>
        <v>1</v>
      </c>
      <c r="O63" s="2">
        <f t="shared" si="2"/>
        <v>6.9666295470957679E-2</v>
      </c>
      <c r="P63" s="2">
        <f>R63/(R63+$N$6)</f>
        <v>0.69666295470957651</v>
      </c>
      <c r="Q63" s="2">
        <f t="shared" si="0"/>
        <v>1</v>
      </c>
      <c r="R63" s="2">
        <f>O62+$N$5</f>
        <v>0.22966629547095768</v>
      </c>
    </row>
    <row r="64" spans="5:18" x14ac:dyDescent="0.4">
      <c r="E64">
        <v>4.6999999999999904</v>
      </c>
      <c r="F64">
        <v>4.6690983005624958</v>
      </c>
      <c r="G64">
        <v>0.61803398874989479</v>
      </c>
      <c r="H64">
        <v>0.6180339887498949</v>
      </c>
      <c r="I64">
        <v>4.6190983005624959</v>
      </c>
      <c r="J64">
        <v>1.6180339887498949</v>
      </c>
      <c r="L64" s="2">
        <v>54</v>
      </c>
      <c r="M64" s="2">
        <v>1</v>
      </c>
      <c r="N64" s="2">
        <f t="shared" si="1"/>
        <v>1</v>
      </c>
      <c r="O64" s="2">
        <f t="shared" si="2"/>
        <v>6.9666295470957679E-2</v>
      </c>
      <c r="P64" s="2">
        <f>R64/(R64+$N$6)</f>
        <v>0.69666295470957651</v>
      </c>
      <c r="Q64" s="2">
        <f t="shared" si="0"/>
        <v>1</v>
      </c>
      <c r="R64" s="2">
        <f>O63+$N$5</f>
        <v>0.22966629547095768</v>
      </c>
    </row>
    <row r="65" spans="5:18" x14ac:dyDescent="0.4">
      <c r="E65">
        <v>4.7499999999999902</v>
      </c>
      <c r="F65">
        <v>4.7190983005624956</v>
      </c>
      <c r="G65">
        <v>0.61803398874989479</v>
      </c>
      <c r="H65">
        <v>0.6180339887498949</v>
      </c>
      <c r="I65">
        <v>4.6690983005624958</v>
      </c>
      <c r="J65">
        <v>1.6180339887498949</v>
      </c>
      <c r="L65" s="2">
        <v>55</v>
      </c>
      <c r="M65" s="2">
        <v>1</v>
      </c>
      <c r="N65" s="2">
        <f t="shared" si="1"/>
        <v>1</v>
      </c>
      <c r="O65" s="2">
        <f t="shared" si="2"/>
        <v>6.9666295470957679E-2</v>
      </c>
      <c r="P65" s="2">
        <f>R65/(R65+$N$6)</f>
        <v>0.69666295470957651</v>
      </c>
      <c r="Q65" s="2">
        <f t="shared" si="0"/>
        <v>1</v>
      </c>
      <c r="R65" s="2">
        <f>O64+$N$5</f>
        <v>0.22966629547095768</v>
      </c>
    </row>
    <row r="66" spans="5:18" x14ac:dyDescent="0.4">
      <c r="E66">
        <v>4.7999999999999901</v>
      </c>
      <c r="F66">
        <v>4.7690983005624954</v>
      </c>
      <c r="G66">
        <v>0.61803398874989479</v>
      </c>
      <c r="H66">
        <v>0.6180339887498949</v>
      </c>
      <c r="I66">
        <v>4.7190983005624956</v>
      </c>
      <c r="J66">
        <v>1.6180339887498949</v>
      </c>
      <c r="L66" s="2">
        <v>56</v>
      </c>
      <c r="M66" s="2">
        <v>1</v>
      </c>
      <c r="N66" s="2">
        <f t="shared" si="1"/>
        <v>1</v>
      </c>
      <c r="O66" s="2">
        <f t="shared" si="2"/>
        <v>6.9666295470957679E-2</v>
      </c>
      <c r="P66" s="2">
        <f>R66/(R66+$N$6)</f>
        <v>0.69666295470957651</v>
      </c>
      <c r="Q66" s="2">
        <f t="shared" si="0"/>
        <v>1</v>
      </c>
      <c r="R66" s="2">
        <f>O65+$N$5</f>
        <v>0.22966629547095768</v>
      </c>
    </row>
    <row r="67" spans="5:18" x14ac:dyDescent="0.4">
      <c r="E67">
        <v>4.8499999999999899</v>
      </c>
      <c r="F67">
        <v>4.8190983005624952</v>
      </c>
      <c r="G67">
        <v>0.61803398874989479</v>
      </c>
      <c r="H67">
        <v>0.6180339887498949</v>
      </c>
      <c r="I67">
        <v>4.7690983005624954</v>
      </c>
      <c r="J67">
        <v>1.6180339887498949</v>
      </c>
      <c r="L67" s="2">
        <v>57</v>
      </c>
      <c r="M67" s="2">
        <v>1</v>
      </c>
      <c r="N67" s="2">
        <f t="shared" si="1"/>
        <v>1</v>
      </c>
      <c r="O67" s="2">
        <f t="shared" si="2"/>
        <v>6.9666295470957679E-2</v>
      </c>
      <c r="P67" s="2">
        <f>R67/(R67+$N$6)</f>
        <v>0.69666295470957651</v>
      </c>
      <c r="Q67" s="2">
        <f t="shared" si="0"/>
        <v>1</v>
      </c>
      <c r="R67" s="2">
        <f>O66+$N$5</f>
        <v>0.22966629547095768</v>
      </c>
    </row>
    <row r="68" spans="5:18" x14ac:dyDescent="0.4">
      <c r="E68">
        <v>4.8999999999999897</v>
      </c>
      <c r="F68">
        <v>4.869098300562495</v>
      </c>
      <c r="G68">
        <v>0.61803398874989479</v>
      </c>
      <c r="H68">
        <v>0.6180339887498949</v>
      </c>
      <c r="I68">
        <v>4.8190983005624952</v>
      </c>
      <c r="J68">
        <v>1.6180339887498949</v>
      </c>
      <c r="L68" s="2">
        <v>58</v>
      </c>
      <c r="M68" s="2">
        <v>1</v>
      </c>
      <c r="N68" s="2">
        <f t="shared" si="1"/>
        <v>1</v>
      </c>
      <c r="O68" s="2">
        <f t="shared" si="2"/>
        <v>6.9666295470957679E-2</v>
      </c>
      <c r="P68" s="2">
        <f>R68/(R68+$N$6)</f>
        <v>0.69666295470957651</v>
      </c>
      <c r="Q68" s="2">
        <f t="shared" si="0"/>
        <v>1</v>
      </c>
      <c r="R68" s="2">
        <f>O67+$N$5</f>
        <v>0.22966629547095768</v>
      </c>
    </row>
    <row r="69" spans="5:18" x14ac:dyDescent="0.4">
      <c r="E69">
        <v>4.9499999999999895</v>
      </c>
      <c r="F69">
        <v>4.9190983005624949</v>
      </c>
      <c r="G69">
        <v>0.61803398874989479</v>
      </c>
      <c r="H69">
        <v>0.6180339887498949</v>
      </c>
      <c r="I69">
        <v>4.869098300562495</v>
      </c>
      <c r="J69">
        <v>1.6180339887498949</v>
      </c>
      <c r="L69" s="2">
        <v>59</v>
      </c>
      <c r="M69" s="2">
        <v>1</v>
      </c>
      <c r="N69" s="2">
        <f t="shared" si="1"/>
        <v>1</v>
      </c>
      <c r="O69" s="2">
        <f t="shared" si="2"/>
        <v>6.9666295470957679E-2</v>
      </c>
      <c r="P69" s="2">
        <f>R69/(R69+$N$6)</f>
        <v>0.69666295470957651</v>
      </c>
      <c r="Q69" s="2">
        <f t="shared" si="0"/>
        <v>1</v>
      </c>
      <c r="R69" s="2">
        <f>O68+$N$5</f>
        <v>0.22966629547095768</v>
      </c>
    </row>
    <row r="70" spans="5:18" x14ac:dyDescent="0.4">
      <c r="E70">
        <v>4.9999999999999893</v>
      </c>
      <c r="F70">
        <v>4.9690983005624947</v>
      </c>
      <c r="G70">
        <v>0.61803398874989479</v>
      </c>
      <c r="H70">
        <v>0.6180339887498949</v>
      </c>
      <c r="I70">
        <v>4.9190983005624949</v>
      </c>
      <c r="J70">
        <v>1.6180339887498949</v>
      </c>
      <c r="L70" s="2">
        <v>60</v>
      </c>
      <c r="M70" s="2">
        <v>1</v>
      </c>
      <c r="N70" s="2">
        <f t="shared" si="1"/>
        <v>1</v>
      </c>
      <c r="O70" s="2">
        <f t="shared" si="2"/>
        <v>6.9666295470957679E-2</v>
      </c>
      <c r="P70" s="2">
        <f>R70/(R70+$N$6)</f>
        <v>0.69666295470957651</v>
      </c>
      <c r="Q70" s="2">
        <f t="shared" si="0"/>
        <v>1</v>
      </c>
      <c r="R70" s="2">
        <f>O69+$N$5</f>
        <v>0.22966629547095768</v>
      </c>
    </row>
    <row r="71" spans="5:18" x14ac:dyDescent="0.4">
      <c r="E71">
        <v>5.0499999999999892</v>
      </c>
      <c r="F71">
        <v>5.0190983005624945</v>
      </c>
      <c r="G71">
        <v>0.61803398874989479</v>
      </c>
      <c r="H71">
        <v>0.6180339887498949</v>
      </c>
      <c r="I71">
        <v>4.9690983005624947</v>
      </c>
      <c r="J71">
        <v>1.6180339887498949</v>
      </c>
      <c r="L71" s="2">
        <v>61</v>
      </c>
      <c r="M71" s="2">
        <v>1</v>
      </c>
      <c r="N71" s="2">
        <f t="shared" si="1"/>
        <v>1</v>
      </c>
      <c r="O71" s="2">
        <f t="shared" si="2"/>
        <v>6.9666295470957679E-2</v>
      </c>
      <c r="P71" s="2">
        <f>R71/(R71+$N$6)</f>
        <v>0.69666295470957651</v>
      </c>
      <c r="Q71" s="2">
        <f t="shared" si="0"/>
        <v>1</v>
      </c>
      <c r="R71" s="2">
        <f>O70+$N$5</f>
        <v>0.22966629547095768</v>
      </c>
    </row>
    <row r="72" spans="5:18" x14ac:dyDescent="0.4">
      <c r="E72">
        <v>5.099999999999989</v>
      </c>
      <c r="F72">
        <v>5.0690983005624943</v>
      </c>
      <c r="G72">
        <v>0.61803398874989479</v>
      </c>
      <c r="H72">
        <v>0.6180339887498949</v>
      </c>
      <c r="I72">
        <v>5.0190983005624945</v>
      </c>
      <c r="J72">
        <v>1.6180339887498949</v>
      </c>
      <c r="L72" s="2">
        <v>62</v>
      </c>
      <c r="M72" s="2">
        <v>1</v>
      </c>
      <c r="N72" s="2">
        <f t="shared" si="1"/>
        <v>1</v>
      </c>
      <c r="O72" s="2">
        <f t="shared" si="2"/>
        <v>6.9666295470957679E-2</v>
      </c>
      <c r="P72" s="2">
        <f>R72/(R72+$N$6)</f>
        <v>0.69666295470957651</v>
      </c>
      <c r="Q72" s="2">
        <f t="shared" si="0"/>
        <v>1</v>
      </c>
      <c r="R72" s="2">
        <f>O71+$N$5</f>
        <v>0.22966629547095768</v>
      </c>
    </row>
    <row r="73" spans="5:18" x14ac:dyDescent="0.4">
      <c r="E73">
        <v>5.1499999999999888</v>
      </c>
      <c r="F73">
        <v>5.1190983005624942</v>
      </c>
      <c r="G73">
        <v>0.61803398874989479</v>
      </c>
      <c r="H73">
        <v>0.6180339887498949</v>
      </c>
      <c r="I73">
        <v>5.0690983005624943</v>
      </c>
      <c r="J73">
        <v>1.6180339887498949</v>
      </c>
      <c r="L73" s="2">
        <v>63</v>
      </c>
      <c r="M73" s="2">
        <v>1</v>
      </c>
      <c r="N73" s="2">
        <f t="shared" si="1"/>
        <v>1</v>
      </c>
      <c r="O73" s="2">
        <f t="shared" si="2"/>
        <v>6.9666295470957679E-2</v>
      </c>
      <c r="P73" s="2">
        <f>R73/(R73+$N$6)</f>
        <v>0.69666295470957651</v>
      </c>
      <c r="Q73" s="2">
        <f t="shared" si="0"/>
        <v>1</v>
      </c>
      <c r="R73" s="2">
        <f>O72+$N$5</f>
        <v>0.22966629547095768</v>
      </c>
    </row>
    <row r="74" spans="5:18" x14ac:dyDescent="0.4">
      <c r="E74">
        <v>5.1999999999999886</v>
      </c>
      <c r="F74">
        <v>5.169098300562494</v>
      </c>
      <c r="G74">
        <v>0.61803398874989479</v>
      </c>
      <c r="H74">
        <v>0.6180339887498949</v>
      </c>
      <c r="I74">
        <v>5.1190983005624942</v>
      </c>
      <c r="J74">
        <v>1.6180339887498949</v>
      </c>
      <c r="L74" s="2">
        <v>64</v>
      </c>
      <c r="M74" s="2">
        <v>1</v>
      </c>
      <c r="N74" s="2">
        <f t="shared" si="1"/>
        <v>1</v>
      </c>
      <c r="O74" s="2">
        <f t="shared" si="2"/>
        <v>6.9666295470957679E-2</v>
      </c>
      <c r="P74" s="2">
        <f>R74/(R74+$N$6)</f>
        <v>0.69666295470957651</v>
      </c>
      <c r="Q74" s="2">
        <f t="shared" si="0"/>
        <v>1</v>
      </c>
      <c r="R74" s="2">
        <f>O73+$N$5</f>
        <v>0.22966629547095768</v>
      </c>
    </row>
    <row r="75" spans="5:18" x14ac:dyDescent="0.4">
      <c r="E75">
        <v>5.2499999999999885</v>
      </c>
      <c r="F75">
        <v>5.2190983005624938</v>
      </c>
      <c r="G75">
        <v>0.61803398874989479</v>
      </c>
      <c r="H75">
        <v>0.6180339887498949</v>
      </c>
      <c r="I75">
        <v>5.169098300562494</v>
      </c>
      <c r="J75">
        <v>1.6180339887498949</v>
      </c>
      <c r="L75" s="2">
        <v>65</v>
      </c>
      <c r="M75" s="2">
        <v>1</v>
      </c>
      <c r="N75" s="2">
        <f t="shared" si="1"/>
        <v>1</v>
      </c>
      <c r="O75" s="2">
        <f t="shared" si="2"/>
        <v>6.9666295470957679E-2</v>
      </c>
      <c r="P75" s="2">
        <f>R75/(R75+$N$6)</f>
        <v>0.69666295470957651</v>
      </c>
      <c r="Q75" s="2">
        <f t="shared" si="0"/>
        <v>1</v>
      </c>
      <c r="R75" s="2">
        <f>O74+$N$5</f>
        <v>0.22966629547095768</v>
      </c>
    </row>
    <row r="76" spans="5:18" x14ac:dyDescent="0.4">
      <c r="E76">
        <v>5.2999999999999883</v>
      </c>
      <c r="F76">
        <v>5.2690983005624936</v>
      </c>
      <c r="G76">
        <v>0.61803398874989479</v>
      </c>
      <c r="H76">
        <v>0.6180339887498949</v>
      </c>
      <c r="I76">
        <v>5.2190983005624938</v>
      </c>
      <c r="J76">
        <v>1.6180339887498949</v>
      </c>
      <c r="L76" s="2">
        <v>66</v>
      </c>
      <c r="M76" s="2">
        <v>1</v>
      </c>
      <c r="N76" s="2">
        <f t="shared" si="1"/>
        <v>1</v>
      </c>
      <c r="O76" s="2">
        <f t="shared" si="2"/>
        <v>6.9666295470957679E-2</v>
      </c>
      <c r="P76" s="2">
        <f>R76/(R76+$N$6)</f>
        <v>0.69666295470957651</v>
      </c>
      <c r="Q76" s="2">
        <f t="shared" si="0"/>
        <v>1</v>
      </c>
      <c r="R76" s="2">
        <f>O75+$N$5</f>
        <v>0.22966629547095768</v>
      </c>
    </row>
    <row r="77" spans="5:18" x14ac:dyDescent="0.4">
      <c r="E77">
        <v>5.3499999999999881</v>
      </c>
      <c r="F77">
        <v>5.3190983005624934</v>
      </c>
      <c r="G77">
        <v>0.61803398874989479</v>
      </c>
      <c r="H77">
        <v>0.6180339887498949</v>
      </c>
      <c r="I77">
        <v>5.2690983005624936</v>
      </c>
      <c r="J77">
        <v>1.6180339887498949</v>
      </c>
      <c r="L77" s="2">
        <v>67</v>
      </c>
      <c r="M77" s="2">
        <v>1</v>
      </c>
      <c r="N77" s="2">
        <f t="shared" ref="N77:N140" si="3">(1-P77)*Q77+P77*M77</f>
        <v>1</v>
      </c>
      <c r="O77" s="2">
        <f t="shared" ref="O77:O140" si="4">(1-P77)*R77</f>
        <v>6.9666295470957679E-2</v>
      </c>
      <c r="P77" s="2">
        <f>R77/(R77+$N$6)</f>
        <v>0.69666295470957651</v>
      </c>
      <c r="Q77" s="2">
        <f t="shared" ref="Q77:Q140" si="5">N76</f>
        <v>1</v>
      </c>
      <c r="R77" s="2">
        <f>O76+$N$5</f>
        <v>0.22966629547095768</v>
      </c>
    </row>
    <row r="78" spans="5:18" x14ac:dyDescent="0.4">
      <c r="E78">
        <v>5.3999999999999879</v>
      </c>
      <c r="F78">
        <v>5.3690983005624933</v>
      </c>
      <c r="G78">
        <v>0.61803398874989479</v>
      </c>
      <c r="H78">
        <v>0.6180339887498949</v>
      </c>
      <c r="I78">
        <v>5.3190983005624934</v>
      </c>
      <c r="J78">
        <v>1.6180339887498949</v>
      </c>
      <c r="L78" s="2">
        <v>68</v>
      </c>
      <c r="M78" s="2">
        <v>1</v>
      </c>
      <c r="N78" s="2">
        <f t="shared" si="3"/>
        <v>1</v>
      </c>
      <c r="O78" s="2">
        <f t="shared" si="4"/>
        <v>6.9666295470957679E-2</v>
      </c>
      <c r="P78" s="2">
        <f>R78/(R78+$N$6)</f>
        <v>0.69666295470957651</v>
      </c>
      <c r="Q78" s="2">
        <f t="shared" si="5"/>
        <v>1</v>
      </c>
      <c r="R78" s="2">
        <f>O77+$N$5</f>
        <v>0.22966629547095768</v>
      </c>
    </row>
    <row r="79" spans="5:18" x14ac:dyDescent="0.4">
      <c r="E79">
        <v>5.4499999999999877</v>
      </c>
      <c r="F79">
        <v>5.4190983005624931</v>
      </c>
      <c r="G79">
        <v>0.61803398874989479</v>
      </c>
      <c r="H79">
        <v>0.6180339887498949</v>
      </c>
      <c r="I79">
        <v>5.3690983005624933</v>
      </c>
      <c r="J79">
        <v>1.6180339887498949</v>
      </c>
      <c r="L79" s="2">
        <v>69</v>
      </c>
      <c r="M79" s="2">
        <v>1</v>
      </c>
      <c r="N79" s="2">
        <f t="shared" si="3"/>
        <v>1</v>
      </c>
      <c r="O79" s="2">
        <f t="shared" si="4"/>
        <v>6.9666295470957679E-2</v>
      </c>
      <c r="P79" s="2">
        <f>R79/(R79+$N$6)</f>
        <v>0.69666295470957651</v>
      </c>
      <c r="Q79" s="2">
        <f t="shared" si="5"/>
        <v>1</v>
      </c>
      <c r="R79" s="2">
        <f>O78+$N$5</f>
        <v>0.22966629547095768</v>
      </c>
    </row>
    <row r="80" spans="5:18" x14ac:dyDescent="0.4">
      <c r="E80">
        <v>5.4999999999999876</v>
      </c>
      <c r="F80">
        <v>5.4690983005624929</v>
      </c>
      <c r="G80">
        <v>0.61803398874989479</v>
      </c>
      <c r="H80">
        <v>0.6180339887498949</v>
      </c>
      <c r="I80">
        <v>5.4190983005624931</v>
      </c>
      <c r="J80">
        <v>1.6180339887498949</v>
      </c>
      <c r="L80" s="2">
        <v>70</v>
      </c>
      <c r="M80" s="2">
        <v>1</v>
      </c>
      <c r="N80" s="2">
        <f t="shared" si="3"/>
        <v>1</v>
      </c>
      <c r="O80" s="2">
        <f t="shared" si="4"/>
        <v>6.9666295470957679E-2</v>
      </c>
      <c r="P80" s="2">
        <f>R80/(R80+$N$6)</f>
        <v>0.69666295470957651</v>
      </c>
      <c r="Q80" s="2">
        <f t="shared" si="5"/>
        <v>1</v>
      </c>
      <c r="R80" s="2">
        <f>O79+$N$5</f>
        <v>0.22966629547095768</v>
      </c>
    </row>
    <row r="81" spans="5:18" x14ac:dyDescent="0.4">
      <c r="E81">
        <v>5.5499999999999874</v>
      </c>
      <c r="F81">
        <v>5.5190983005624927</v>
      </c>
      <c r="G81">
        <v>0.61803398874989479</v>
      </c>
      <c r="H81">
        <v>0.6180339887498949</v>
      </c>
      <c r="I81">
        <v>5.4690983005624929</v>
      </c>
      <c r="J81">
        <v>1.6180339887498949</v>
      </c>
      <c r="L81" s="2">
        <v>71</v>
      </c>
      <c r="M81" s="2">
        <v>1</v>
      </c>
      <c r="N81" s="2">
        <f t="shared" si="3"/>
        <v>1</v>
      </c>
      <c r="O81" s="2">
        <f t="shared" si="4"/>
        <v>6.9666295470957679E-2</v>
      </c>
      <c r="P81" s="2">
        <f>R81/(R81+$N$6)</f>
        <v>0.69666295470957651</v>
      </c>
      <c r="Q81" s="2">
        <f t="shared" si="5"/>
        <v>1</v>
      </c>
      <c r="R81" s="2">
        <f>O80+$N$5</f>
        <v>0.22966629547095768</v>
      </c>
    </row>
    <row r="82" spans="5:18" x14ac:dyDescent="0.4">
      <c r="E82">
        <v>5.5999999999999872</v>
      </c>
      <c r="F82">
        <v>5.5690983005624926</v>
      </c>
      <c r="G82">
        <v>0.61803398874989479</v>
      </c>
      <c r="H82">
        <v>0.6180339887498949</v>
      </c>
      <c r="I82">
        <v>5.5190983005624927</v>
      </c>
      <c r="J82">
        <v>1.6180339887498949</v>
      </c>
      <c r="L82" s="2">
        <v>72</v>
      </c>
      <c r="M82" s="2">
        <v>1</v>
      </c>
      <c r="N82" s="2">
        <f t="shared" si="3"/>
        <v>1</v>
      </c>
      <c r="O82" s="2">
        <f t="shared" si="4"/>
        <v>6.9666295470957679E-2</v>
      </c>
      <c r="P82" s="2">
        <f>R82/(R82+$N$6)</f>
        <v>0.69666295470957651</v>
      </c>
      <c r="Q82" s="2">
        <f t="shared" si="5"/>
        <v>1</v>
      </c>
      <c r="R82" s="2">
        <f>O81+$N$5</f>
        <v>0.22966629547095768</v>
      </c>
    </row>
    <row r="83" spans="5:18" x14ac:dyDescent="0.4">
      <c r="E83">
        <v>5.649999999999987</v>
      </c>
      <c r="F83">
        <v>5.6190983005624924</v>
      </c>
      <c r="G83">
        <v>0.61803398874989479</v>
      </c>
      <c r="H83">
        <v>0.6180339887498949</v>
      </c>
      <c r="I83">
        <v>5.5690983005624926</v>
      </c>
      <c r="J83">
        <v>1.6180339887498949</v>
      </c>
      <c r="L83" s="2">
        <v>73</v>
      </c>
      <c r="M83" s="2">
        <v>1</v>
      </c>
      <c r="N83" s="2">
        <f t="shared" si="3"/>
        <v>1</v>
      </c>
      <c r="O83" s="2">
        <f t="shared" si="4"/>
        <v>6.9666295470957679E-2</v>
      </c>
      <c r="P83" s="2">
        <f>R83/(R83+$N$6)</f>
        <v>0.69666295470957651</v>
      </c>
      <c r="Q83" s="2">
        <f t="shared" si="5"/>
        <v>1</v>
      </c>
      <c r="R83" s="2">
        <f>O82+$N$5</f>
        <v>0.22966629547095768</v>
      </c>
    </row>
    <row r="84" spans="5:18" x14ac:dyDescent="0.4">
      <c r="E84">
        <v>5.6999999999999869</v>
      </c>
      <c r="F84">
        <v>5.6690983005624922</v>
      </c>
      <c r="G84">
        <v>0.61803398874989479</v>
      </c>
      <c r="H84">
        <v>0.6180339887498949</v>
      </c>
      <c r="I84">
        <v>5.6190983005624924</v>
      </c>
      <c r="J84">
        <v>1.6180339887498949</v>
      </c>
      <c r="L84" s="2">
        <v>74</v>
      </c>
      <c r="M84" s="2">
        <v>1</v>
      </c>
      <c r="N84" s="2">
        <f t="shared" si="3"/>
        <v>1</v>
      </c>
      <c r="O84" s="2">
        <f t="shared" si="4"/>
        <v>6.9666295470957679E-2</v>
      </c>
      <c r="P84" s="2">
        <f>R84/(R84+$N$6)</f>
        <v>0.69666295470957651</v>
      </c>
      <c r="Q84" s="2">
        <f t="shared" si="5"/>
        <v>1</v>
      </c>
      <c r="R84" s="2">
        <f>O83+$N$5</f>
        <v>0.22966629547095768</v>
      </c>
    </row>
    <row r="85" spans="5:18" x14ac:dyDescent="0.4">
      <c r="E85">
        <v>5.7499999999999867</v>
      </c>
      <c r="F85">
        <v>5.719098300562492</v>
      </c>
      <c r="G85">
        <v>0.61803398874989479</v>
      </c>
      <c r="H85">
        <v>0.6180339887498949</v>
      </c>
      <c r="I85">
        <v>5.6690983005624922</v>
      </c>
      <c r="J85">
        <v>1.6180339887498949</v>
      </c>
      <c r="L85" s="2">
        <v>75</v>
      </c>
      <c r="M85" s="2">
        <v>1</v>
      </c>
      <c r="N85" s="2">
        <f t="shared" si="3"/>
        <v>1</v>
      </c>
      <c r="O85" s="2">
        <f t="shared" si="4"/>
        <v>6.9666295470957679E-2</v>
      </c>
      <c r="P85" s="2">
        <f>R85/(R85+$N$6)</f>
        <v>0.69666295470957651</v>
      </c>
      <c r="Q85" s="2">
        <f t="shared" si="5"/>
        <v>1</v>
      </c>
      <c r="R85" s="2">
        <f>O84+$N$5</f>
        <v>0.22966629547095768</v>
      </c>
    </row>
    <row r="86" spans="5:18" x14ac:dyDescent="0.4">
      <c r="E86">
        <v>5.7999999999999865</v>
      </c>
      <c r="F86">
        <v>5.7690983005624918</v>
      </c>
      <c r="G86">
        <v>0.61803398874989479</v>
      </c>
      <c r="H86">
        <v>0.6180339887498949</v>
      </c>
      <c r="I86">
        <v>5.719098300562492</v>
      </c>
      <c r="J86">
        <v>1.6180339887498949</v>
      </c>
      <c r="L86" s="2">
        <v>76</v>
      </c>
      <c r="M86" s="2">
        <v>1</v>
      </c>
      <c r="N86" s="2">
        <f t="shared" si="3"/>
        <v>1</v>
      </c>
      <c r="O86" s="2">
        <f t="shared" si="4"/>
        <v>6.9666295470957679E-2</v>
      </c>
      <c r="P86" s="2">
        <f>R86/(R86+$N$6)</f>
        <v>0.69666295470957651</v>
      </c>
      <c r="Q86" s="2">
        <f t="shared" si="5"/>
        <v>1</v>
      </c>
      <c r="R86" s="2">
        <f>O85+$N$5</f>
        <v>0.22966629547095768</v>
      </c>
    </row>
    <row r="87" spans="5:18" x14ac:dyDescent="0.4">
      <c r="E87">
        <v>5.8499999999999863</v>
      </c>
      <c r="F87">
        <v>5.8190983005624917</v>
      </c>
      <c r="G87">
        <v>0.61803398874989479</v>
      </c>
      <c r="H87">
        <v>0.6180339887498949</v>
      </c>
      <c r="I87">
        <v>5.7690983005624918</v>
      </c>
      <c r="J87">
        <v>1.6180339887498949</v>
      </c>
      <c r="L87" s="2">
        <v>77</v>
      </c>
      <c r="M87" s="2">
        <v>1</v>
      </c>
      <c r="N87" s="2">
        <f t="shared" si="3"/>
        <v>1</v>
      </c>
      <c r="O87" s="2">
        <f t="shared" si="4"/>
        <v>6.9666295470957679E-2</v>
      </c>
      <c r="P87" s="2">
        <f>R87/(R87+$N$6)</f>
        <v>0.69666295470957651</v>
      </c>
      <c r="Q87" s="2">
        <f t="shared" si="5"/>
        <v>1</v>
      </c>
      <c r="R87" s="2">
        <f>O86+$N$5</f>
        <v>0.22966629547095768</v>
      </c>
    </row>
    <row r="88" spans="5:18" x14ac:dyDescent="0.4">
      <c r="E88">
        <v>5.8999999999999861</v>
      </c>
      <c r="F88">
        <v>5.8690983005624915</v>
      </c>
      <c r="G88">
        <v>0.61803398874989479</v>
      </c>
      <c r="H88">
        <v>0.6180339887498949</v>
      </c>
      <c r="I88">
        <v>5.8190983005624917</v>
      </c>
      <c r="J88">
        <v>1.6180339887498949</v>
      </c>
      <c r="L88" s="2">
        <v>78</v>
      </c>
      <c r="M88" s="2">
        <v>1</v>
      </c>
      <c r="N88" s="2">
        <f t="shared" si="3"/>
        <v>1</v>
      </c>
      <c r="O88" s="2">
        <f t="shared" si="4"/>
        <v>6.9666295470957679E-2</v>
      </c>
      <c r="P88" s="2">
        <f>R88/(R88+$N$6)</f>
        <v>0.69666295470957651</v>
      </c>
      <c r="Q88" s="2">
        <f t="shared" si="5"/>
        <v>1</v>
      </c>
      <c r="R88" s="2">
        <f>O87+$N$5</f>
        <v>0.22966629547095768</v>
      </c>
    </row>
    <row r="89" spans="5:18" x14ac:dyDescent="0.4">
      <c r="E89">
        <v>5.949999999999986</v>
      </c>
      <c r="F89">
        <v>5.9190983005624913</v>
      </c>
      <c r="G89">
        <v>0.61803398874989479</v>
      </c>
      <c r="H89">
        <v>0.6180339887498949</v>
      </c>
      <c r="I89">
        <v>5.8690983005624915</v>
      </c>
      <c r="J89">
        <v>1.6180339887498949</v>
      </c>
      <c r="L89" s="2">
        <v>79</v>
      </c>
      <c r="M89" s="2">
        <v>1</v>
      </c>
      <c r="N89" s="2">
        <f t="shared" si="3"/>
        <v>1</v>
      </c>
      <c r="O89" s="2">
        <f t="shared" si="4"/>
        <v>6.9666295470957679E-2</v>
      </c>
      <c r="P89" s="2">
        <f>R89/(R89+$N$6)</f>
        <v>0.69666295470957651</v>
      </c>
      <c r="Q89" s="2">
        <f t="shared" si="5"/>
        <v>1</v>
      </c>
      <c r="R89" s="2">
        <f>O88+$N$5</f>
        <v>0.22966629547095768</v>
      </c>
    </row>
    <row r="90" spans="5:18" x14ac:dyDescent="0.4">
      <c r="E90">
        <v>5.9999999999999858</v>
      </c>
      <c r="F90">
        <v>5.9690983005624911</v>
      </c>
      <c r="G90">
        <v>0.61803398874989479</v>
      </c>
      <c r="H90">
        <v>0.6180339887498949</v>
      </c>
      <c r="I90">
        <v>5.9190983005624913</v>
      </c>
      <c r="J90">
        <v>1.6180339887498949</v>
      </c>
      <c r="L90" s="2">
        <v>80</v>
      </c>
      <c r="M90" s="2">
        <v>1</v>
      </c>
      <c r="N90" s="2">
        <f t="shared" si="3"/>
        <v>1</v>
      </c>
      <c r="O90" s="2">
        <f t="shared" si="4"/>
        <v>6.9666295470957679E-2</v>
      </c>
      <c r="P90" s="2">
        <f>R90/(R90+$N$6)</f>
        <v>0.69666295470957651</v>
      </c>
      <c r="Q90" s="2">
        <f t="shared" si="5"/>
        <v>1</v>
      </c>
      <c r="R90" s="2">
        <f>O89+$N$5</f>
        <v>0.22966629547095768</v>
      </c>
    </row>
    <row r="91" spans="5:18" x14ac:dyDescent="0.4">
      <c r="E91">
        <v>6.0499999999999856</v>
      </c>
      <c r="F91">
        <v>6.019098300562491</v>
      </c>
      <c r="G91">
        <v>0.61803398874989479</v>
      </c>
      <c r="H91">
        <v>0.6180339887498949</v>
      </c>
      <c r="I91">
        <v>5.9690983005624911</v>
      </c>
      <c r="J91">
        <v>1.6180339887498949</v>
      </c>
      <c r="L91" s="2">
        <v>81</v>
      </c>
      <c r="M91" s="2">
        <v>1</v>
      </c>
      <c r="N91" s="2">
        <f t="shared" si="3"/>
        <v>1</v>
      </c>
      <c r="O91" s="2">
        <f t="shared" si="4"/>
        <v>6.9666295470957679E-2</v>
      </c>
      <c r="P91" s="2">
        <f>R91/(R91+$N$6)</f>
        <v>0.69666295470957651</v>
      </c>
      <c r="Q91" s="2">
        <f t="shared" si="5"/>
        <v>1</v>
      </c>
      <c r="R91" s="2">
        <f>O90+$N$5</f>
        <v>0.22966629547095768</v>
      </c>
    </row>
    <row r="92" spans="5:18" x14ac:dyDescent="0.4">
      <c r="E92">
        <v>6.0999999999999854</v>
      </c>
      <c r="F92">
        <v>6.0690983005624908</v>
      </c>
      <c r="G92">
        <v>0.61803398874989479</v>
      </c>
      <c r="H92">
        <v>0.6180339887498949</v>
      </c>
      <c r="I92">
        <v>6.019098300562491</v>
      </c>
      <c r="J92">
        <v>1.6180339887498949</v>
      </c>
      <c r="L92" s="2">
        <v>82</v>
      </c>
      <c r="M92" s="2">
        <v>1</v>
      </c>
      <c r="N92" s="2">
        <f t="shared" si="3"/>
        <v>1</v>
      </c>
      <c r="O92" s="2">
        <f t="shared" si="4"/>
        <v>6.9666295470957679E-2</v>
      </c>
      <c r="P92" s="2">
        <f>R92/(R92+$N$6)</f>
        <v>0.69666295470957651</v>
      </c>
      <c r="Q92" s="2">
        <f t="shared" si="5"/>
        <v>1</v>
      </c>
      <c r="R92" s="2">
        <f>O91+$N$5</f>
        <v>0.22966629547095768</v>
      </c>
    </row>
    <row r="93" spans="5:18" x14ac:dyDescent="0.4">
      <c r="E93">
        <v>6.1499999999999853</v>
      </c>
      <c r="F93">
        <v>6.1190983005624906</v>
      </c>
      <c r="G93">
        <v>0.61803398874989479</v>
      </c>
      <c r="H93">
        <v>0.6180339887498949</v>
      </c>
      <c r="I93">
        <v>6.0690983005624908</v>
      </c>
      <c r="J93">
        <v>1.6180339887498949</v>
      </c>
      <c r="L93" s="2">
        <v>83</v>
      </c>
      <c r="M93" s="2">
        <v>1</v>
      </c>
      <c r="N93" s="2">
        <f t="shared" si="3"/>
        <v>1</v>
      </c>
      <c r="O93" s="2">
        <f t="shared" si="4"/>
        <v>6.9666295470957679E-2</v>
      </c>
      <c r="P93" s="2">
        <f>R93/(R93+$N$6)</f>
        <v>0.69666295470957651</v>
      </c>
      <c r="Q93" s="2">
        <f t="shared" si="5"/>
        <v>1</v>
      </c>
      <c r="R93" s="2">
        <f>O92+$N$5</f>
        <v>0.22966629547095768</v>
      </c>
    </row>
    <row r="94" spans="5:18" x14ac:dyDescent="0.4">
      <c r="E94">
        <v>6.1999999999999851</v>
      </c>
      <c r="F94">
        <v>6.1690983005624904</v>
      </c>
      <c r="G94">
        <v>0.61803398874989479</v>
      </c>
      <c r="H94">
        <v>0.6180339887498949</v>
      </c>
      <c r="I94">
        <v>6.1190983005624906</v>
      </c>
      <c r="J94">
        <v>1.6180339887498949</v>
      </c>
      <c r="L94" s="2">
        <v>84</v>
      </c>
      <c r="M94" s="2">
        <v>1</v>
      </c>
      <c r="N94" s="2">
        <f t="shared" si="3"/>
        <v>1</v>
      </c>
      <c r="O94" s="2">
        <f t="shared" si="4"/>
        <v>6.9666295470957679E-2</v>
      </c>
      <c r="P94" s="2">
        <f>R94/(R94+$N$6)</f>
        <v>0.69666295470957651</v>
      </c>
      <c r="Q94" s="2">
        <f t="shared" si="5"/>
        <v>1</v>
      </c>
      <c r="R94" s="2">
        <f>O93+$N$5</f>
        <v>0.22966629547095768</v>
      </c>
    </row>
    <row r="95" spans="5:18" x14ac:dyDescent="0.4">
      <c r="E95">
        <v>6.2499999999999849</v>
      </c>
      <c r="F95">
        <v>6.2190983005624902</v>
      </c>
      <c r="G95">
        <v>0.61803398874989479</v>
      </c>
      <c r="H95">
        <v>0.6180339887498949</v>
      </c>
      <c r="I95">
        <v>6.1690983005624904</v>
      </c>
      <c r="J95">
        <v>1.6180339887498949</v>
      </c>
      <c r="L95" s="2">
        <v>85</v>
      </c>
      <c r="M95" s="2">
        <v>1</v>
      </c>
      <c r="N95" s="2">
        <f t="shared" si="3"/>
        <v>1</v>
      </c>
      <c r="O95" s="2">
        <f t="shared" si="4"/>
        <v>6.9666295470957679E-2</v>
      </c>
      <c r="P95" s="2">
        <f>R95/(R95+$N$6)</f>
        <v>0.69666295470957651</v>
      </c>
      <c r="Q95" s="2">
        <f t="shared" si="5"/>
        <v>1</v>
      </c>
      <c r="R95" s="2">
        <f>O94+$N$5</f>
        <v>0.22966629547095768</v>
      </c>
    </row>
    <row r="96" spans="5:18" x14ac:dyDescent="0.4">
      <c r="E96">
        <v>6.2999999999999847</v>
      </c>
      <c r="F96">
        <v>6.2690983005624901</v>
      </c>
      <c r="G96">
        <v>0.61803398874989479</v>
      </c>
      <c r="H96">
        <v>0.6180339887498949</v>
      </c>
      <c r="I96">
        <v>6.2190983005624902</v>
      </c>
      <c r="J96">
        <v>1.6180339887498949</v>
      </c>
      <c r="L96" s="2">
        <v>86</v>
      </c>
      <c r="M96" s="2">
        <v>1</v>
      </c>
      <c r="N96" s="2">
        <f t="shared" si="3"/>
        <v>1</v>
      </c>
      <c r="O96" s="2">
        <f t="shared" si="4"/>
        <v>6.9666295470957679E-2</v>
      </c>
      <c r="P96" s="2">
        <f>R96/(R96+$N$6)</f>
        <v>0.69666295470957651</v>
      </c>
      <c r="Q96" s="2">
        <f t="shared" si="5"/>
        <v>1</v>
      </c>
      <c r="R96" s="2">
        <f>O95+$N$5</f>
        <v>0.22966629547095768</v>
      </c>
    </row>
    <row r="97" spans="5:18" x14ac:dyDescent="0.4">
      <c r="E97">
        <v>6.3499999999999845</v>
      </c>
      <c r="F97">
        <v>6.3190983005624899</v>
      </c>
      <c r="G97">
        <v>0.61803398874989479</v>
      </c>
      <c r="H97">
        <v>0.6180339887498949</v>
      </c>
      <c r="I97">
        <v>6.2690983005624901</v>
      </c>
      <c r="J97">
        <v>1.6180339887498949</v>
      </c>
      <c r="L97" s="2">
        <v>87</v>
      </c>
      <c r="M97" s="2">
        <v>1</v>
      </c>
      <c r="N97" s="2">
        <f t="shared" si="3"/>
        <v>1</v>
      </c>
      <c r="O97" s="2">
        <f t="shared" si="4"/>
        <v>6.9666295470957679E-2</v>
      </c>
      <c r="P97" s="2">
        <f>R97/(R97+$N$6)</f>
        <v>0.69666295470957651</v>
      </c>
      <c r="Q97" s="2">
        <f t="shared" si="5"/>
        <v>1</v>
      </c>
      <c r="R97" s="2">
        <f>O96+$N$5</f>
        <v>0.22966629547095768</v>
      </c>
    </row>
    <row r="98" spans="5:18" x14ac:dyDescent="0.4">
      <c r="E98">
        <v>6.3999999999999844</v>
      </c>
      <c r="F98">
        <v>6.3690983005624897</v>
      </c>
      <c r="G98">
        <v>0.61803398874989479</v>
      </c>
      <c r="H98">
        <v>0.6180339887498949</v>
      </c>
      <c r="I98">
        <v>6.3190983005624899</v>
      </c>
      <c r="J98">
        <v>1.6180339887498949</v>
      </c>
      <c r="L98" s="2">
        <v>88</v>
      </c>
      <c r="M98" s="2">
        <v>1</v>
      </c>
      <c r="N98" s="2">
        <f t="shared" si="3"/>
        <v>1</v>
      </c>
      <c r="O98" s="2">
        <f t="shared" si="4"/>
        <v>6.9666295470957679E-2</v>
      </c>
      <c r="P98" s="2">
        <f>R98/(R98+$N$6)</f>
        <v>0.69666295470957651</v>
      </c>
      <c r="Q98" s="2">
        <f t="shared" si="5"/>
        <v>1</v>
      </c>
      <c r="R98" s="2">
        <f>O97+$N$5</f>
        <v>0.22966629547095768</v>
      </c>
    </row>
    <row r="99" spans="5:18" x14ac:dyDescent="0.4">
      <c r="E99">
        <v>6.4499999999999842</v>
      </c>
      <c r="F99">
        <v>6.4190983005624895</v>
      </c>
      <c r="G99">
        <v>0.61803398874989479</v>
      </c>
      <c r="H99">
        <v>0.6180339887498949</v>
      </c>
      <c r="I99">
        <v>6.3690983005624897</v>
      </c>
      <c r="J99">
        <v>1.6180339887498949</v>
      </c>
      <c r="L99" s="2">
        <v>89</v>
      </c>
      <c r="M99" s="2">
        <v>1</v>
      </c>
      <c r="N99" s="2">
        <f t="shared" si="3"/>
        <v>1</v>
      </c>
      <c r="O99" s="2">
        <f t="shared" si="4"/>
        <v>6.9666295470957679E-2</v>
      </c>
      <c r="P99" s="2">
        <f>R99/(R99+$N$6)</f>
        <v>0.69666295470957651</v>
      </c>
      <c r="Q99" s="2">
        <f t="shared" si="5"/>
        <v>1</v>
      </c>
      <c r="R99" s="2">
        <f>O98+$N$5</f>
        <v>0.22966629547095768</v>
      </c>
    </row>
    <row r="100" spans="5:18" x14ac:dyDescent="0.4">
      <c r="E100">
        <v>6.499999999999984</v>
      </c>
      <c r="F100">
        <v>6.4690983005624894</v>
      </c>
      <c r="G100">
        <v>0.61803398874989479</v>
      </c>
      <c r="H100">
        <v>0.6180339887498949</v>
      </c>
      <c r="I100">
        <v>6.4190983005624895</v>
      </c>
      <c r="J100">
        <v>1.6180339887498949</v>
      </c>
      <c r="L100" s="2">
        <v>90</v>
      </c>
      <c r="M100" s="2">
        <v>1</v>
      </c>
      <c r="N100" s="2">
        <f t="shared" si="3"/>
        <v>1</v>
      </c>
      <c r="O100" s="2">
        <f t="shared" si="4"/>
        <v>6.9666295470957679E-2</v>
      </c>
      <c r="P100" s="2">
        <f>R100/(R100+$N$6)</f>
        <v>0.69666295470957651</v>
      </c>
      <c r="Q100" s="2">
        <f t="shared" si="5"/>
        <v>1</v>
      </c>
      <c r="R100" s="2">
        <f>O99+$N$5</f>
        <v>0.22966629547095768</v>
      </c>
    </row>
    <row r="101" spans="5:18" x14ac:dyDescent="0.4">
      <c r="E101">
        <v>6.5499999999999838</v>
      </c>
      <c r="F101">
        <v>6.5190983005624892</v>
      </c>
      <c r="G101">
        <v>0.61803398874989479</v>
      </c>
      <c r="H101">
        <v>0.6180339887498949</v>
      </c>
      <c r="I101">
        <v>6.4690983005624894</v>
      </c>
      <c r="J101">
        <v>1.6180339887498949</v>
      </c>
      <c r="L101" s="2">
        <v>91</v>
      </c>
      <c r="M101" s="2">
        <v>1</v>
      </c>
      <c r="N101" s="2">
        <f t="shared" si="3"/>
        <v>1</v>
      </c>
      <c r="O101" s="2">
        <f t="shared" si="4"/>
        <v>6.9666295470957679E-2</v>
      </c>
      <c r="P101" s="2">
        <f>R101/(R101+$N$6)</f>
        <v>0.69666295470957651</v>
      </c>
      <c r="Q101" s="2">
        <f t="shared" si="5"/>
        <v>1</v>
      </c>
      <c r="R101" s="2">
        <f>O100+$N$5</f>
        <v>0.22966629547095768</v>
      </c>
    </row>
    <row r="102" spans="5:18" x14ac:dyDescent="0.4">
      <c r="E102">
        <v>6.5999999999999837</v>
      </c>
      <c r="F102">
        <v>6.569098300562489</v>
      </c>
      <c r="G102">
        <v>0.61803398874989479</v>
      </c>
      <c r="H102">
        <v>0.6180339887498949</v>
      </c>
      <c r="I102">
        <v>6.5190983005624892</v>
      </c>
      <c r="J102">
        <v>1.6180339887498949</v>
      </c>
      <c r="L102" s="2">
        <v>92</v>
      </c>
      <c r="M102" s="2">
        <v>1</v>
      </c>
      <c r="N102" s="2">
        <f t="shared" si="3"/>
        <v>1</v>
      </c>
      <c r="O102" s="2">
        <f t="shared" si="4"/>
        <v>6.9666295470957679E-2</v>
      </c>
      <c r="P102" s="2">
        <f>R102/(R102+$N$6)</f>
        <v>0.69666295470957651</v>
      </c>
      <c r="Q102" s="2">
        <f t="shared" si="5"/>
        <v>1</v>
      </c>
      <c r="R102" s="2">
        <f>O101+$N$5</f>
        <v>0.22966629547095768</v>
      </c>
    </row>
    <row r="103" spans="5:18" x14ac:dyDescent="0.4">
      <c r="E103">
        <v>6.6499999999999835</v>
      </c>
      <c r="F103">
        <v>6.6190983005624888</v>
      </c>
      <c r="G103">
        <v>0.61803398874989479</v>
      </c>
      <c r="H103">
        <v>0.6180339887498949</v>
      </c>
      <c r="I103">
        <v>6.569098300562489</v>
      </c>
      <c r="J103">
        <v>1.6180339887498949</v>
      </c>
      <c r="L103" s="2">
        <v>93</v>
      </c>
      <c r="M103" s="2">
        <v>1</v>
      </c>
      <c r="N103" s="2">
        <f t="shared" si="3"/>
        <v>1</v>
      </c>
      <c r="O103" s="2">
        <f t="shared" si="4"/>
        <v>6.9666295470957679E-2</v>
      </c>
      <c r="P103" s="2">
        <f>R103/(R103+$N$6)</f>
        <v>0.69666295470957651</v>
      </c>
      <c r="Q103" s="2">
        <f t="shared" si="5"/>
        <v>1</v>
      </c>
      <c r="R103" s="2">
        <f>O102+$N$5</f>
        <v>0.22966629547095768</v>
      </c>
    </row>
    <row r="104" spans="5:18" x14ac:dyDescent="0.4">
      <c r="E104">
        <v>6.6999999999999833</v>
      </c>
      <c r="F104">
        <v>6.6690983005624886</v>
      </c>
      <c r="G104">
        <v>0.61803398874989479</v>
      </c>
      <c r="H104">
        <v>0.6180339887498949</v>
      </c>
      <c r="I104">
        <v>6.6190983005624888</v>
      </c>
      <c r="J104">
        <v>1.6180339887498949</v>
      </c>
      <c r="L104" s="2">
        <v>94</v>
      </c>
      <c r="M104" s="2">
        <v>1</v>
      </c>
      <c r="N104" s="2">
        <f t="shared" si="3"/>
        <v>1</v>
      </c>
      <c r="O104" s="2">
        <f t="shared" si="4"/>
        <v>6.9666295470957679E-2</v>
      </c>
      <c r="P104" s="2">
        <f>R104/(R104+$N$6)</f>
        <v>0.69666295470957651</v>
      </c>
      <c r="Q104" s="2">
        <f t="shared" si="5"/>
        <v>1</v>
      </c>
      <c r="R104" s="2">
        <f>O103+$N$5</f>
        <v>0.22966629547095768</v>
      </c>
    </row>
    <row r="105" spans="5:18" x14ac:dyDescent="0.4">
      <c r="E105">
        <v>6.7499999999999831</v>
      </c>
      <c r="F105">
        <v>6.7190983005624894</v>
      </c>
      <c r="G105">
        <v>0.61803398874989479</v>
      </c>
      <c r="H105">
        <v>0.6180339887498949</v>
      </c>
      <c r="I105">
        <v>6.6690983005624886</v>
      </c>
      <c r="J105">
        <v>1.6180339887498949</v>
      </c>
      <c r="L105" s="2">
        <v>95</v>
      </c>
      <c r="M105" s="2">
        <v>1</v>
      </c>
      <c r="N105" s="2">
        <f t="shared" si="3"/>
        <v>1</v>
      </c>
      <c r="O105" s="2">
        <f t="shared" si="4"/>
        <v>6.9666295470957679E-2</v>
      </c>
      <c r="P105" s="2">
        <f>R105/(R105+$N$6)</f>
        <v>0.69666295470957651</v>
      </c>
      <c r="Q105" s="2">
        <f t="shared" si="5"/>
        <v>1</v>
      </c>
      <c r="R105" s="2">
        <f>O104+$N$5</f>
        <v>0.22966629547095768</v>
      </c>
    </row>
    <row r="106" spans="5:18" x14ac:dyDescent="0.4">
      <c r="E106">
        <v>6.7999999999999829</v>
      </c>
      <c r="F106">
        <v>6.7690983005624883</v>
      </c>
      <c r="G106">
        <v>0.61803398874989479</v>
      </c>
      <c r="H106">
        <v>0.6180339887498949</v>
      </c>
      <c r="I106">
        <v>6.7190983005624894</v>
      </c>
      <c r="J106">
        <v>1.6180339887498949</v>
      </c>
      <c r="L106" s="2">
        <v>96</v>
      </c>
      <c r="M106" s="2">
        <v>1</v>
      </c>
      <c r="N106" s="2">
        <f t="shared" si="3"/>
        <v>1</v>
      </c>
      <c r="O106" s="2">
        <f t="shared" si="4"/>
        <v>6.9666295470957679E-2</v>
      </c>
      <c r="P106" s="2">
        <f>R106/(R106+$N$6)</f>
        <v>0.69666295470957651</v>
      </c>
      <c r="Q106" s="2">
        <f t="shared" si="5"/>
        <v>1</v>
      </c>
      <c r="R106" s="2">
        <f>O105+$N$5</f>
        <v>0.22966629547095768</v>
      </c>
    </row>
    <row r="107" spans="5:18" x14ac:dyDescent="0.4">
      <c r="E107">
        <v>6.8499999999999828</v>
      </c>
      <c r="F107">
        <v>6.819098300562489</v>
      </c>
      <c r="G107">
        <v>0.61803398874989479</v>
      </c>
      <c r="H107">
        <v>0.6180339887498949</v>
      </c>
      <c r="I107">
        <v>6.7690983005624883</v>
      </c>
      <c r="J107">
        <v>1.6180339887498949</v>
      </c>
      <c r="L107" s="2">
        <v>97</v>
      </c>
      <c r="M107" s="2">
        <v>1</v>
      </c>
      <c r="N107" s="2">
        <f t="shared" si="3"/>
        <v>1</v>
      </c>
      <c r="O107" s="2">
        <f t="shared" si="4"/>
        <v>6.9666295470957679E-2</v>
      </c>
      <c r="P107" s="2">
        <f>R107/(R107+$N$6)</f>
        <v>0.69666295470957651</v>
      </c>
      <c r="Q107" s="2">
        <f t="shared" si="5"/>
        <v>1</v>
      </c>
      <c r="R107" s="2">
        <f>O106+$N$5</f>
        <v>0.22966629547095768</v>
      </c>
    </row>
    <row r="108" spans="5:18" x14ac:dyDescent="0.4">
      <c r="E108">
        <v>6.8999999999999826</v>
      </c>
      <c r="F108">
        <v>6.8690983005624879</v>
      </c>
      <c r="G108">
        <v>0.61803398874989479</v>
      </c>
      <c r="H108">
        <v>0.6180339887498949</v>
      </c>
      <c r="I108">
        <v>6.819098300562489</v>
      </c>
      <c r="J108">
        <v>1.6180339887498949</v>
      </c>
      <c r="L108" s="2">
        <v>98</v>
      </c>
      <c r="M108" s="2">
        <v>1</v>
      </c>
      <c r="N108" s="2">
        <f t="shared" si="3"/>
        <v>1</v>
      </c>
      <c r="O108" s="2">
        <f t="shared" si="4"/>
        <v>6.9666295470957679E-2</v>
      </c>
      <c r="P108" s="2">
        <f>R108/(R108+$N$6)</f>
        <v>0.69666295470957651</v>
      </c>
      <c r="Q108" s="2">
        <f t="shared" si="5"/>
        <v>1</v>
      </c>
      <c r="R108" s="2">
        <f>O107+$N$5</f>
        <v>0.22966629547095768</v>
      </c>
    </row>
    <row r="109" spans="5:18" x14ac:dyDescent="0.4">
      <c r="E109">
        <v>6.9499999999999824</v>
      </c>
      <c r="F109">
        <v>6.9190983005624886</v>
      </c>
      <c r="G109">
        <v>0.61803398874989479</v>
      </c>
      <c r="H109">
        <v>0.6180339887498949</v>
      </c>
      <c r="I109">
        <v>6.8690983005624879</v>
      </c>
      <c r="J109">
        <v>1.6180339887498949</v>
      </c>
      <c r="L109" s="2">
        <v>99</v>
      </c>
      <c r="M109" s="2">
        <v>1</v>
      </c>
      <c r="N109" s="2">
        <f t="shared" si="3"/>
        <v>1</v>
      </c>
      <c r="O109" s="2">
        <f t="shared" si="4"/>
        <v>6.9666295470957679E-2</v>
      </c>
      <c r="P109" s="2">
        <f>R109/(R109+$N$6)</f>
        <v>0.69666295470957651</v>
      </c>
      <c r="Q109" s="2">
        <f t="shared" si="5"/>
        <v>1</v>
      </c>
      <c r="R109" s="2">
        <f>O108+$N$5</f>
        <v>0.22966629547095768</v>
      </c>
    </row>
    <row r="110" spans="5:18" x14ac:dyDescent="0.4">
      <c r="E110">
        <v>6.9999999999999822</v>
      </c>
      <c r="F110">
        <v>6.9690983005624885</v>
      </c>
      <c r="G110">
        <v>0.61803398874989479</v>
      </c>
      <c r="H110">
        <v>0.6180339887498949</v>
      </c>
      <c r="I110">
        <v>6.9190983005624886</v>
      </c>
      <c r="J110">
        <v>1.6180339887498949</v>
      </c>
      <c r="L110" s="2">
        <v>100</v>
      </c>
      <c r="M110" s="2">
        <v>1</v>
      </c>
      <c r="N110" s="2">
        <f t="shared" si="3"/>
        <v>1</v>
      </c>
      <c r="O110" s="2">
        <f t="shared" si="4"/>
        <v>6.9666295470957679E-2</v>
      </c>
      <c r="P110" s="2">
        <f>R110/(R110+$N$6)</f>
        <v>0.69666295470957651</v>
      </c>
      <c r="Q110" s="2">
        <f t="shared" si="5"/>
        <v>1</v>
      </c>
      <c r="R110" s="2">
        <f>O109+$N$5</f>
        <v>0.22966629547095768</v>
      </c>
    </row>
    <row r="111" spans="5:18" x14ac:dyDescent="0.4">
      <c r="E111">
        <v>7.0499999999999821</v>
      </c>
      <c r="F111">
        <v>7.0190983005624883</v>
      </c>
      <c r="G111">
        <v>0.61803398874989479</v>
      </c>
      <c r="H111">
        <v>0.6180339887498949</v>
      </c>
      <c r="I111">
        <v>6.9690983005624885</v>
      </c>
      <c r="J111">
        <v>1.6180339887498949</v>
      </c>
      <c r="L111" s="2">
        <v>101</v>
      </c>
      <c r="M111" s="2">
        <v>1</v>
      </c>
      <c r="N111" s="2">
        <f t="shared" si="3"/>
        <v>1</v>
      </c>
      <c r="O111" s="2">
        <f t="shared" si="4"/>
        <v>6.9666295470957679E-2</v>
      </c>
      <c r="P111" s="2">
        <f>R111/(R111+$N$6)</f>
        <v>0.69666295470957651</v>
      </c>
      <c r="Q111" s="2">
        <f t="shared" si="5"/>
        <v>1</v>
      </c>
      <c r="R111" s="2">
        <f>O110+$N$5</f>
        <v>0.22966629547095768</v>
      </c>
    </row>
    <row r="112" spans="5:18" x14ac:dyDescent="0.4">
      <c r="E112">
        <v>7.0999999999999819</v>
      </c>
      <c r="F112">
        <v>7.0690983005624881</v>
      </c>
      <c r="G112">
        <v>0.61803398874989479</v>
      </c>
      <c r="H112">
        <v>0.6180339887498949</v>
      </c>
      <c r="I112">
        <v>7.0190983005624883</v>
      </c>
      <c r="J112">
        <v>1.6180339887498949</v>
      </c>
      <c r="L112" s="2">
        <v>102</v>
      </c>
      <c r="M112" s="2">
        <v>1</v>
      </c>
      <c r="N112" s="2">
        <f t="shared" si="3"/>
        <v>1</v>
      </c>
      <c r="O112" s="2">
        <f t="shared" si="4"/>
        <v>6.9666295470957679E-2</v>
      </c>
      <c r="P112" s="2">
        <f>R112/(R112+$N$6)</f>
        <v>0.69666295470957651</v>
      </c>
      <c r="Q112" s="2">
        <f t="shared" si="5"/>
        <v>1</v>
      </c>
      <c r="R112" s="2">
        <f>O111+$N$5</f>
        <v>0.22966629547095768</v>
      </c>
    </row>
    <row r="113" spans="5:18" x14ac:dyDescent="0.4">
      <c r="E113">
        <v>7.1499999999999817</v>
      </c>
      <c r="F113">
        <v>7.1190983005624879</v>
      </c>
      <c r="G113">
        <v>0.61803398874989479</v>
      </c>
      <c r="H113">
        <v>0.6180339887498949</v>
      </c>
      <c r="I113">
        <v>7.0690983005624881</v>
      </c>
      <c r="J113">
        <v>1.6180339887498949</v>
      </c>
      <c r="L113" s="2">
        <v>103</v>
      </c>
      <c r="M113" s="2">
        <v>1</v>
      </c>
      <c r="N113" s="2">
        <f t="shared" si="3"/>
        <v>1</v>
      </c>
      <c r="O113" s="2">
        <f t="shared" si="4"/>
        <v>6.9666295470957679E-2</v>
      </c>
      <c r="P113" s="2">
        <f>R113/(R113+$N$6)</f>
        <v>0.69666295470957651</v>
      </c>
      <c r="Q113" s="2">
        <f t="shared" si="5"/>
        <v>1</v>
      </c>
      <c r="R113" s="2">
        <f>O112+$N$5</f>
        <v>0.22966629547095768</v>
      </c>
    </row>
    <row r="114" spans="5:18" x14ac:dyDescent="0.4">
      <c r="E114">
        <v>7.1999999999999815</v>
      </c>
      <c r="F114">
        <v>7.1690983005624878</v>
      </c>
      <c r="G114">
        <v>0.61803398874989479</v>
      </c>
      <c r="H114">
        <v>0.6180339887498949</v>
      </c>
      <c r="I114">
        <v>7.1190983005624879</v>
      </c>
      <c r="J114">
        <v>1.6180339887498949</v>
      </c>
      <c r="L114" s="2">
        <v>104</v>
      </c>
      <c r="M114" s="2">
        <v>1</v>
      </c>
      <c r="N114" s="2">
        <f t="shared" si="3"/>
        <v>1</v>
      </c>
      <c r="O114" s="2">
        <f t="shared" si="4"/>
        <v>6.9666295470957679E-2</v>
      </c>
      <c r="P114" s="2">
        <f>R114/(R114+$N$6)</f>
        <v>0.69666295470957651</v>
      </c>
      <c r="Q114" s="2">
        <f t="shared" si="5"/>
        <v>1</v>
      </c>
      <c r="R114" s="2">
        <f>O113+$N$5</f>
        <v>0.22966629547095768</v>
      </c>
    </row>
    <row r="115" spans="5:18" x14ac:dyDescent="0.4">
      <c r="E115">
        <v>7.2499999999999813</v>
      </c>
      <c r="F115">
        <v>7.2190983005624876</v>
      </c>
      <c r="G115">
        <v>0.61803398874989479</v>
      </c>
      <c r="H115">
        <v>0.6180339887498949</v>
      </c>
      <c r="I115">
        <v>7.1690983005624878</v>
      </c>
      <c r="J115">
        <v>1.6180339887498949</v>
      </c>
      <c r="L115" s="2">
        <v>105</v>
      </c>
      <c r="M115" s="2">
        <v>1</v>
      </c>
      <c r="N115" s="2">
        <f t="shared" si="3"/>
        <v>1</v>
      </c>
      <c r="O115" s="2">
        <f t="shared" si="4"/>
        <v>6.9666295470957679E-2</v>
      </c>
      <c r="P115" s="2">
        <f>R115/(R115+$N$6)</f>
        <v>0.69666295470957651</v>
      </c>
      <c r="Q115" s="2">
        <f t="shared" si="5"/>
        <v>1</v>
      </c>
      <c r="R115" s="2">
        <f>O114+$N$5</f>
        <v>0.22966629547095768</v>
      </c>
    </row>
    <row r="116" spans="5:18" x14ac:dyDescent="0.4">
      <c r="E116">
        <v>7.2999999999999812</v>
      </c>
      <c r="F116">
        <v>7.2690983005624865</v>
      </c>
      <c r="G116">
        <v>0.61803398874989479</v>
      </c>
      <c r="H116">
        <v>0.6180339887498949</v>
      </c>
      <c r="I116">
        <v>7.2190983005624876</v>
      </c>
      <c r="J116">
        <v>1.6180339887498949</v>
      </c>
      <c r="L116" s="2">
        <v>106</v>
      </c>
      <c r="M116" s="2">
        <v>1</v>
      </c>
      <c r="N116" s="2">
        <f t="shared" si="3"/>
        <v>1</v>
      </c>
      <c r="O116" s="2">
        <f t="shared" si="4"/>
        <v>6.9666295470957679E-2</v>
      </c>
      <c r="P116" s="2">
        <f>R116/(R116+$N$6)</f>
        <v>0.69666295470957651</v>
      </c>
      <c r="Q116" s="2">
        <f t="shared" si="5"/>
        <v>1</v>
      </c>
      <c r="R116" s="2">
        <f>O115+$N$5</f>
        <v>0.22966629547095768</v>
      </c>
    </row>
    <row r="117" spans="5:18" x14ac:dyDescent="0.4">
      <c r="E117">
        <v>7.349999999999981</v>
      </c>
      <c r="F117">
        <v>7.3190983005624854</v>
      </c>
      <c r="G117">
        <v>0.61803398874989479</v>
      </c>
      <c r="H117">
        <v>0.6180339887498949</v>
      </c>
      <c r="I117">
        <v>7.2690983005624865</v>
      </c>
      <c r="J117">
        <v>1.6180339887498949</v>
      </c>
      <c r="L117" s="2">
        <v>107</v>
      </c>
      <c r="M117" s="2">
        <v>1</v>
      </c>
      <c r="N117" s="2">
        <f t="shared" si="3"/>
        <v>1</v>
      </c>
      <c r="O117" s="2">
        <f t="shared" si="4"/>
        <v>6.9666295470957679E-2</v>
      </c>
      <c r="P117" s="2">
        <f>R117/(R117+$N$6)</f>
        <v>0.69666295470957651</v>
      </c>
      <c r="Q117" s="2">
        <f t="shared" si="5"/>
        <v>1</v>
      </c>
      <c r="R117" s="2">
        <f>O116+$N$5</f>
        <v>0.22966629547095768</v>
      </c>
    </row>
    <row r="118" spans="5:18" x14ac:dyDescent="0.4">
      <c r="E118">
        <v>7.3999999999999808</v>
      </c>
      <c r="F118">
        <v>7.3690983005624853</v>
      </c>
      <c r="G118">
        <v>0.61803398874989479</v>
      </c>
      <c r="H118">
        <v>0.6180339887498949</v>
      </c>
      <c r="I118">
        <v>7.3190983005624854</v>
      </c>
      <c r="J118">
        <v>1.6180339887498949</v>
      </c>
      <c r="L118" s="2">
        <v>108</v>
      </c>
      <c r="M118" s="2">
        <v>1</v>
      </c>
      <c r="N118" s="2">
        <f t="shared" si="3"/>
        <v>1</v>
      </c>
      <c r="O118" s="2">
        <f t="shared" si="4"/>
        <v>6.9666295470957679E-2</v>
      </c>
      <c r="P118" s="2">
        <f>R118/(R118+$N$6)</f>
        <v>0.69666295470957651</v>
      </c>
      <c r="Q118" s="2">
        <f t="shared" si="5"/>
        <v>1</v>
      </c>
      <c r="R118" s="2">
        <f>O117+$N$5</f>
        <v>0.22966629547095768</v>
      </c>
    </row>
    <row r="119" spans="5:18" x14ac:dyDescent="0.4">
      <c r="E119">
        <v>7.4499999999999806</v>
      </c>
      <c r="F119">
        <v>7.4190983005624851</v>
      </c>
      <c r="G119">
        <v>0.61803398874989479</v>
      </c>
      <c r="H119">
        <v>0.6180339887498949</v>
      </c>
      <c r="I119">
        <v>7.3690983005624853</v>
      </c>
      <c r="J119">
        <v>1.6180339887498949</v>
      </c>
      <c r="L119" s="2">
        <v>109</v>
      </c>
      <c r="M119" s="2">
        <v>1</v>
      </c>
      <c r="N119" s="2">
        <f t="shared" si="3"/>
        <v>1</v>
      </c>
      <c r="O119" s="2">
        <f t="shared" si="4"/>
        <v>6.9666295470957679E-2</v>
      </c>
      <c r="P119" s="2">
        <f>R119/(R119+$N$6)</f>
        <v>0.69666295470957651</v>
      </c>
      <c r="Q119" s="2">
        <f t="shared" si="5"/>
        <v>1</v>
      </c>
      <c r="R119" s="2">
        <f>O118+$N$5</f>
        <v>0.22966629547095768</v>
      </c>
    </row>
    <row r="120" spans="5:18" x14ac:dyDescent="0.4">
      <c r="E120">
        <v>7.4999999999999805</v>
      </c>
      <c r="F120">
        <v>7.4690983005624849</v>
      </c>
      <c r="G120">
        <v>0.61803398874989479</v>
      </c>
      <c r="H120">
        <v>0.6180339887498949</v>
      </c>
      <c r="I120">
        <v>7.4190983005624851</v>
      </c>
      <c r="J120">
        <v>1.6180339887498949</v>
      </c>
      <c r="L120" s="2">
        <v>110</v>
      </c>
      <c r="M120" s="2">
        <v>1</v>
      </c>
      <c r="N120" s="2">
        <f t="shared" si="3"/>
        <v>1</v>
      </c>
      <c r="O120" s="2">
        <f t="shared" si="4"/>
        <v>6.9666295470957679E-2</v>
      </c>
      <c r="P120" s="2">
        <f>R120/(R120+$N$6)</f>
        <v>0.69666295470957651</v>
      </c>
      <c r="Q120" s="2">
        <f t="shared" si="5"/>
        <v>1</v>
      </c>
      <c r="R120" s="2">
        <f>O119+$N$5</f>
        <v>0.22966629547095768</v>
      </c>
    </row>
    <row r="121" spans="5:18" x14ac:dyDescent="0.4">
      <c r="E121">
        <v>7.5499999999999803</v>
      </c>
      <c r="F121">
        <v>7.5190983005624847</v>
      </c>
      <c r="G121">
        <v>0.61803398874989479</v>
      </c>
      <c r="H121">
        <v>0.6180339887498949</v>
      </c>
      <c r="I121">
        <v>7.4690983005624849</v>
      </c>
      <c r="J121">
        <v>1.6180339887498949</v>
      </c>
      <c r="L121" s="2">
        <v>111</v>
      </c>
      <c r="M121" s="2">
        <v>1</v>
      </c>
      <c r="N121" s="2">
        <f t="shared" si="3"/>
        <v>1</v>
      </c>
      <c r="O121" s="2">
        <f t="shared" si="4"/>
        <v>6.9666295470957679E-2</v>
      </c>
      <c r="P121" s="2">
        <f>R121/(R121+$N$6)</f>
        <v>0.69666295470957651</v>
      </c>
      <c r="Q121" s="2">
        <f t="shared" si="5"/>
        <v>1</v>
      </c>
      <c r="R121" s="2">
        <f>O120+$N$5</f>
        <v>0.22966629547095768</v>
      </c>
    </row>
    <row r="122" spans="5:18" x14ac:dyDescent="0.4">
      <c r="E122">
        <v>7.5999999999999801</v>
      </c>
      <c r="F122">
        <v>7.5690983005624854</v>
      </c>
      <c r="G122">
        <v>0.61803398874989479</v>
      </c>
      <c r="H122">
        <v>0.6180339887498949</v>
      </c>
      <c r="I122">
        <v>7.5190983005624847</v>
      </c>
      <c r="J122">
        <v>1.6180339887498949</v>
      </c>
      <c r="L122" s="2">
        <v>112</v>
      </c>
      <c r="M122" s="2">
        <v>1</v>
      </c>
      <c r="N122" s="2">
        <f t="shared" si="3"/>
        <v>1</v>
      </c>
      <c r="O122" s="2">
        <f t="shared" si="4"/>
        <v>6.9666295470957679E-2</v>
      </c>
      <c r="P122" s="2">
        <f>R122/(R122+$N$6)</f>
        <v>0.69666295470957651</v>
      </c>
      <c r="Q122" s="2">
        <f t="shared" si="5"/>
        <v>1</v>
      </c>
      <c r="R122" s="2">
        <f>O121+$N$5</f>
        <v>0.22966629547095768</v>
      </c>
    </row>
    <row r="123" spans="5:18" x14ac:dyDescent="0.4">
      <c r="E123">
        <v>7.6499999999999799</v>
      </c>
      <c r="F123">
        <v>7.6190983005624844</v>
      </c>
      <c r="G123">
        <v>0.61803398874989479</v>
      </c>
      <c r="H123">
        <v>0.6180339887498949</v>
      </c>
      <c r="I123">
        <v>7.5690983005624854</v>
      </c>
      <c r="J123">
        <v>1.6180339887498949</v>
      </c>
      <c r="L123" s="2">
        <v>113</v>
      </c>
      <c r="M123" s="2">
        <v>1</v>
      </c>
      <c r="N123" s="2">
        <f t="shared" si="3"/>
        <v>1</v>
      </c>
      <c r="O123" s="2">
        <f t="shared" si="4"/>
        <v>6.9666295470957679E-2</v>
      </c>
      <c r="P123" s="2">
        <f>R123/(R123+$N$6)</f>
        <v>0.69666295470957651</v>
      </c>
      <c r="Q123" s="2">
        <f t="shared" si="5"/>
        <v>1</v>
      </c>
      <c r="R123" s="2">
        <f>O122+$N$5</f>
        <v>0.22966629547095768</v>
      </c>
    </row>
    <row r="124" spans="5:18" x14ac:dyDescent="0.4">
      <c r="E124">
        <v>7.6999999999999797</v>
      </c>
      <c r="F124">
        <v>7.6690983005624851</v>
      </c>
      <c r="G124">
        <v>0.61803398874989479</v>
      </c>
      <c r="H124">
        <v>0.6180339887498949</v>
      </c>
      <c r="I124">
        <v>7.6190983005624844</v>
      </c>
      <c r="J124">
        <v>1.6180339887498949</v>
      </c>
      <c r="L124" s="2">
        <v>114</v>
      </c>
      <c r="M124" s="2">
        <v>1</v>
      </c>
      <c r="N124" s="2">
        <f t="shared" si="3"/>
        <v>1</v>
      </c>
      <c r="O124" s="2">
        <f t="shared" si="4"/>
        <v>6.9666295470957679E-2</v>
      </c>
      <c r="P124" s="2">
        <f>R124/(R124+$N$6)</f>
        <v>0.69666295470957651</v>
      </c>
      <c r="Q124" s="2">
        <f t="shared" si="5"/>
        <v>1</v>
      </c>
      <c r="R124" s="2">
        <f>O123+$N$5</f>
        <v>0.22966629547095768</v>
      </c>
    </row>
    <row r="125" spans="5:18" x14ac:dyDescent="0.4">
      <c r="E125">
        <v>7.7499999999999796</v>
      </c>
      <c r="F125">
        <v>7.719098300562484</v>
      </c>
      <c r="G125">
        <v>0.61803398874989479</v>
      </c>
      <c r="H125">
        <v>0.6180339887498949</v>
      </c>
      <c r="I125">
        <v>7.6690983005624851</v>
      </c>
      <c r="J125">
        <v>1.6180339887498949</v>
      </c>
      <c r="L125" s="2">
        <v>115</v>
      </c>
      <c r="M125" s="2">
        <v>1</v>
      </c>
      <c r="N125" s="2">
        <f t="shared" si="3"/>
        <v>1</v>
      </c>
      <c r="O125" s="2">
        <f t="shared" si="4"/>
        <v>6.9666295470957679E-2</v>
      </c>
      <c r="P125" s="2">
        <f>R125/(R125+$N$6)</f>
        <v>0.69666295470957651</v>
      </c>
      <c r="Q125" s="2">
        <f t="shared" si="5"/>
        <v>1</v>
      </c>
      <c r="R125" s="2">
        <f>O124+$N$5</f>
        <v>0.22966629547095768</v>
      </c>
    </row>
    <row r="126" spans="5:18" x14ac:dyDescent="0.4">
      <c r="E126">
        <v>7.7999999999999794</v>
      </c>
      <c r="F126">
        <v>7.7690983005624847</v>
      </c>
      <c r="G126">
        <v>0.61803398874989479</v>
      </c>
      <c r="H126">
        <v>0.6180339887498949</v>
      </c>
      <c r="I126">
        <v>7.719098300562484</v>
      </c>
      <c r="J126">
        <v>1.6180339887498949</v>
      </c>
      <c r="L126" s="2">
        <v>116</v>
      </c>
      <c r="M126" s="2">
        <v>1</v>
      </c>
      <c r="N126" s="2">
        <f t="shared" si="3"/>
        <v>1</v>
      </c>
      <c r="O126" s="2">
        <f t="shared" si="4"/>
        <v>6.9666295470957679E-2</v>
      </c>
      <c r="P126" s="2">
        <f>R126/(R126+$N$6)</f>
        <v>0.69666295470957651</v>
      </c>
      <c r="Q126" s="2">
        <f t="shared" si="5"/>
        <v>1</v>
      </c>
      <c r="R126" s="2">
        <f>O125+$N$5</f>
        <v>0.22966629547095768</v>
      </c>
    </row>
    <row r="127" spans="5:18" x14ac:dyDescent="0.4">
      <c r="E127">
        <v>7.8499999999999792</v>
      </c>
      <c r="F127">
        <v>7.8190983005624846</v>
      </c>
      <c r="G127">
        <v>0.61803398874989479</v>
      </c>
      <c r="H127">
        <v>0.6180339887498949</v>
      </c>
      <c r="I127">
        <v>7.7690983005624847</v>
      </c>
      <c r="J127">
        <v>1.6180339887498949</v>
      </c>
      <c r="L127" s="2">
        <v>117</v>
      </c>
      <c r="M127" s="2">
        <v>1</v>
      </c>
      <c r="N127" s="2">
        <f t="shared" si="3"/>
        <v>1</v>
      </c>
      <c r="O127" s="2">
        <f t="shared" si="4"/>
        <v>6.9666295470957679E-2</v>
      </c>
      <c r="P127" s="2">
        <f>R127/(R127+$N$6)</f>
        <v>0.69666295470957651</v>
      </c>
      <c r="Q127" s="2">
        <f t="shared" si="5"/>
        <v>1</v>
      </c>
      <c r="R127" s="2">
        <f>O126+$N$5</f>
        <v>0.22966629547095768</v>
      </c>
    </row>
    <row r="128" spans="5:18" x14ac:dyDescent="0.4">
      <c r="E128">
        <v>7.899999999999979</v>
      </c>
      <c r="F128">
        <v>7.8690983005624844</v>
      </c>
      <c r="G128">
        <v>0.61803398874989479</v>
      </c>
      <c r="H128">
        <v>0.6180339887498949</v>
      </c>
      <c r="I128">
        <v>7.8190983005624846</v>
      </c>
      <c r="J128">
        <v>1.6180339887498949</v>
      </c>
      <c r="L128" s="2">
        <v>118</v>
      </c>
      <c r="M128" s="2">
        <v>1</v>
      </c>
      <c r="N128" s="2">
        <f t="shared" si="3"/>
        <v>1</v>
      </c>
      <c r="O128" s="2">
        <f t="shared" si="4"/>
        <v>6.9666295470957679E-2</v>
      </c>
      <c r="P128" s="2">
        <f>R128/(R128+$N$6)</f>
        <v>0.69666295470957651</v>
      </c>
      <c r="Q128" s="2">
        <f t="shared" si="5"/>
        <v>1</v>
      </c>
      <c r="R128" s="2">
        <f>O127+$N$5</f>
        <v>0.22966629547095768</v>
      </c>
    </row>
    <row r="129" spans="5:18" x14ac:dyDescent="0.4">
      <c r="E129">
        <v>7.9499999999999789</v>
      </c>
      <c r="F129">
        <v>7.9190983005624842</v>
      </c>
      <c r="G129">
        <v>0.61803398874989479</v>
      </c>
      <c r="H129">
        <v>0.6180339887498949</v>
      </c>
      <c r="I129">
        <v>7.8690983005624844</v>
      </c>
      <c r="J129">
        <v>1.6180339887498949</v>
      </c>
      <c r="L129" s="2">
        <v>119</v>
      </c>
      <c r="M129" s="2">
        <v>1</v>
      </c>
      <c r="N129" s="2">
        <f t="shared" si="3"/>
        <v>1</v>
      </c>
      <c r="O129" s="2">
        <f t="shared" si="4"/>
        <v>6.9666295470957679E-2</v>
      </c>
      <c r="P129" s="2">
        <f>R129/(R129+$N$6)</f>
        <v>0.69666295470957651</v>
      </c>
      <c r="Q129" s="2">
        <f t="shared" si="5"/>
        <v>1</v>
      </c>
      <c r="R129" s="2">
        <f>O128+$N$5</f>
        <v>0.22966629547095768</v>
      </c>
    </row>
    <row r="130" spans="5:18" x14ac:dyDescent="0.4">
      <c r="E130">
        <v>7.9999999999999787</v>
      </c>
      <c r="F130">
        <v>7.969098300562484</v>
      </c>
      <c r="G130">
        <v>0.61803398874989479</v>
      </c>
      <c r="H130">
        <v>0.6180339887498949</v>
      </c>
      <c r="I130">
        <v>7.9190983005624842</v>
      </c>
      <c r="J130">
        <v>1.6180339887498949</v>
      </c>
      <c r="L130" s="2">
        <v>120</v>
      </c>
      <c r="M130" s="2">
        <v>1</v>
      </c>
      <c r="N130" s="2">
        <f t="shared" si="3"/>
        <v>1</v>
      </c>
      <c r="O130" s="2">
        <f t="shared" si="4"/>
        <v>6.9666295470957679E-2</v>
      </c>
      <c r="P130" s="2">
        <f>R130/(R130+$N$6)</f>
        <v>0.69666295470957651</v>
      </c>
      <c r="Q130" s="2">
        <f t="shared" si="5"/>
        <v>1</v>
      </c>
      <c r="R130" s="2">
        <f>O129+$N$5</f>
        <v>0.22966629547095768</v>
      </c>
    </row>
    <row r="131" spans="5:18" x14ac:dyDescent="0.4">
      <c r="E131">
        <v>8.0499999999999794</v>
      </c>
      <c r="F131">
        <v>8.0190983005624847</v>
      </c>
      <c r="G131">
        <v>0.61803398874989479</v>
      </c>
      <c r="H131">
        <v>0.6180339887498949</v>
      </c>
      <c r="I131">
        <v>7.969098300562484</v>
      </c>
      <c r="J131">
        <v>1.6180339887498949</v>
      </c>
      <c r="L131" s="2">
        <v>121</v>
      </c>
      <c r="M131" s="2">
        <v>1</v>
      </c>
      <c r="N131" s="2">
        <f t="shared" si="3"/>
        <v>1</v>
      </c>
      <c r="O131" s="2">
        <f t="shared" si="4"/>
        <v>6.9666295470957679E-2</v>
      </c>
      <c r="P131" s="2">
        <f>R131/(R131+$N$6)</f>
        <v>0.69666295470957651</v>
      </c>
      <c r="Q131" s="2">
        <f t="shared" si="5"/>
        <v>1</v>
      </c>
      <c r="R131" s="2">
        <f>O130+$N$5</f>
        <v>0.22966629547095768</v>
      </c>
    </row>
    <row r="132" spans="5:18" x14ac:dyDescent="0.4">
      <c r="E132">
        <v>8.0999999999999801</v>
      </c>
      <c r="F132">
        <v>8.0690983005624854</v>
      </c>
      <c r="G132">
        <v>0.61803398874989479</v>
      </c>
      <c r="H132">
        <v>0.6180339887498949</v>
      </c>
      <c r="I132">
        <v>8.0190983005624847</v>
      </c>
      <c r="J132">
        <v>1.6180339887498949</v>
      </c>
      <c r="L132" s="2">
        <v>122</v>
      </c>
      <c r="M132" s="2">
        <v>1</v>
      </c>
      <c r="N132" s="2">
        <f t="shared" si="3"/>
        <v>1</v>
      </c>
      <c r="O132" s="2">
        <f t="shared" si="4"/>
        <v>6.9666295470957679E-2</v>
      </c>
      <c r="P132" s="2">
        <f>R132/(R132+$N$6)</f>
        <v>0.69666295470957651</v>
      </c>
      <c r="Q132" s="2">
        <f t="shared" si="5"/>
        <v>1</v>
      </c>
      <c r="R132" s="2">
        <f>O131+$N$5</f>
        <v>0.22966629547095768</v>
      </c>
    </row>
    <row r="133" spans="5:18" x14ac:dyDescent="0.4">
      <c r="E133">
        <v>8.1499999999999808</v>
      </c>
      <c r="F133">
        <v>8.1190983005624862</v>
      </c>
      <c r="G133">
        <v>0.61803398874989479</v>
      </c>
      <c r="H133">
        <v>0.6180339887498949</v>
      </c>
      <c r="I133">
        <v>8.0690983005624854</v>
      </c>
      <c r="J133">
        <v>1.6180339887498949</v>
      </c>
      <c r="L133" s="2">
        <v>123</v>
      </c>
      <c r="M133" s="2">
        <v>1</v>
      </c>
      <c r="N133" s="2">
        <f t="shared" si="3"/>
        <v>1</v>
      </c>
      <c r="O133" s="2">
        <f t="shared" si="4"/>
        <v>6.9666295470957679E-2</v>
      </c>
      <c r="P133" s="2">
        <f>R133/(R133+$N$6)</f>
        <v>0.69666295470957651</v>
      </c>
      <c r="Q133" s="2">
        <f t="shared" si="5"/>
        <v>1</v>
      </c>
      <c r="R133" s="2">
        <f>O132+$N$5</f>
        <v>0.22966629547095768</v>
      </c>
    </row>
    <row r="134" spans="5:18" x14ac:dyDescent="0.4">
      <c r="E134">
        <v>8.1999999999999815</v>
      </c>
      <c r="F134">
        <v>8.1690983005624869</v>
      </c>
      <c r="G134">
        <v>0.61803398874989479</v>
      </c>
      <c r="H134">
        <v>0.6180339887498949</v>
      </c>
      <c r="I134">
        <v>8.1190983005624862</v>
      </c>
      <c r="J134">
        <v>1.6180339887498949</v>
      </c>
      <c r="L134" s="2">
        <v>124</v>
      </c>
      <c r="M134" s="2">
        <v>1</v>
      </c>
      <c r="N134" s="2">
        <f t="shared" si="3"/>
        <v>1</v>
      </c>
      <c r="O134" s="2">
        <f t="shared" si="4"/>
        <v>6.9666295470957679E-2</v>
      </c>
      <c r="P134" s="2">
        <f>R134/(R134+$N$6)</f>
        <v>0.69666295470957651</v>
      </c>
      <c r="Q134" s="2">
        <f t="shared" si="5"/>
        <v>1</v>
      </c>
      <c r="R134" s="2">
        <f>O133+$N$5</f>
        <v>0.22966629547095768</v>
      </c>
    </row>
    <row r="135" spans="5:18" x14ac:dyDescent="0.4">
      <c r="E135">
        <v>8.2499999999999822</v>
      </c>
      <c r="F135">
        <v>8.2190983005624876</v>
      </c>
      <c r="G135">
        <v>0.61803398874989479</v>
      </c>
      <c r="H135">
        <v>0.6180339887498949</v>
      </c>
      <c r="I135">
        <v>8.1690983005624869</v>
      </c>
      <c r="J135">
        <v>1.6180339887498949</v>
      </c>
      <c r="L135" s="2">
        <v>125</v>
      </c>
      <c r="M135" s="2">
        <v>1</v>
      </c>
      <c r="N135" s="2">
        <f t="shared" si="3"/>
        <v>1</v>
      </c>
      <c r="O135" s="2">
        <f t="shared" si="4"/>
        <v>6.9666295470957679E-2</v>
      </c>
      <c r="P135" s="2">
        <f>R135/(R135+$N$6)</f>
        <v>0.69666295470957651</v>
      </c>
      <c r="Q135" s="2">
        <f t="shared" si="5"/>
        <v>1</v>
      </c>
      <c r="R135" s="2">
        <f>O134+$N$5</f>
        <v>0.22966629547095768</v>
      </c>
    </row>
    <row r="136" spans="5:18" x14ac:dyDescent="0.4">
      <c r="E136">
        <v>8.2999999999999829</v>
      </c>
      <c r="F136">
        <v>8.2690983005624883</v>
      </c>
      <c r="G136">
        <v>0.61803398874989479</v>
      </c>
      <c r="H136">
        <v>0.6180339887498949</v>
      </c>
      <c r="I136">
        <v>8.2190983005624876</v>
      </c>
      <c r="J136">
        <v>1.6180339887498949</v>
      </c>
      <c r="L136" s="2">
        <v>126</v>
      </c>
      <c r="M136" s="2">
        <v>1</v>
      </c>
      <c r="N136" s="2">
        <f t="shared" si="3"/>
        <v>1</v>
      </c>
      <c r="O136" s="2">
        <f t="shared" si="4"/>
        <v>6.9666295470957679E-2</v>
      </c>
      <c r="P136" s="2">
        <f>R136/(R136+$N$6)</f>
        <v>0.69666295470957651</v>
      </c>
      <c r="Q136" s="2">
        <f t="shared" si="5"/>
        <v>1</v>
      </c>
      <c r="R136" s="2">
        <f>O135+$N$5</f>
        <v>0.22966629547095768</v>
      </c>
    </row>
    <row r="137" spans="5:18" x14ac:dyDescent="0.4">
      <c r="E137">
        <v>8.3499999999999837</v>
      </c>
      <c r="F137">
        <v>8.319098300562489</v>
      </c>
      <c r="G137">
        <v>0.61803398874989479</v>
      </c>
      <c r="H137">
        <v>0.6180339887498949</v>
      </c>
      <c r="I137">
        <v>8.2690983005624883</v>
      </c>
      <c r="J137">
        <v>1.6180339887498949</v>
      </c>
      <c r="L137" s="2">
        <v>127</v>
      </c>
      <c r="M137" s="2">
        <v>1</v>
      </c>
      <c r="N137" s="2">
        <f t="shared" si="3"/>
        <v>1</v>
      </c>
      <c r="O137" s="2">
        <f t="shared" si="4"/>
        <v>6.9666295470957679E-2</v>
      </c>
      <c r="P137" s="2">
        <f>R137/(R137+$N$6)</f>
        <v>0.69666295470957651</v>
      </c>
      <c r="Q137" s="2">
        <f t="shared" si="5"/>
        <v>1</v>
      </c>
      <c r="R137" s="2">
        <f>O136+$N$5</f>
        <v>0.22966629547095768</v>
      </c>
    </row>
    <row r="138" spans="5:18" x14ac:dyDescent="0.4">
      <c r="E138">
        <v>8.3999999999999844</v>
      </c>
      <c r="F138">
        <v>8.3690983005624897</v>
      </c>
      <c r="G138">
        <v>0.61803398874989479</v>
      </c>
      <c r="H138">
        <v>0.6180339887498949</v>
      </c>
      <c r="I138">
        <v>8.319098300562489</v>
      </c>
      <c r="J138">
        <v>1.6180339887498949</v>
      </c>
      <c r="L138" s="2">
        <v>128</v>
      </c>
      <c r="M138" s="2">
        <v>1</v>
      </c>
      <c r="N138" s="2">
        <f t="shared" si="3"/>
        <v>1</v>
      </c>
      <c r="O138" s="2">
        <f t="shared" si="4"/>
        <v>6.9666295470957679E-2</v>
      </c>
      <c r="P138" s="2">
        <f>R138/(R138+$N$6)</f>
        <v>0.69666295470957651</v>
      </c>
      <c r="Q138" s="2">
        <f t="shared" si="5"/>
        <v>1</v>
      </c>
      <c r="R138" s="2">
        <f>O137+$N$5</f>
        <v>0.22966629547095768</v>
      </c>
    </row>
    <row r="139" spans="5:18" x14ac:dyDescent="0.4">
      <c r="E139">
        <v>8.4499999999999851</v>
      </c>
      <c r="F139">
        <v>8.4190983005624904</v>
      </c>
      <c r="G139">
        <v>0.61803398874989479</v>
      </c>
      <c r="H139">
        <v>0.6180339887498949</v>
      </c>
      <c r="I139">
        <v>8.3690983005624897</v>
      </c>
      <c r="J139">
        <v>1.6180339887498949</v>
      </c>
      <c r="L139" s="2">
        <v>129</v>
      </c>
      <c r="M139" s="2">
        <v>1</v>
      </c>
      <c r="N139" s="2">
        <f t="shared" si="3"/>
        <v>1</v>
      </c>
      <c r="O139" s="2">
        <f t="shared" si="4"/>
        <v>6.9666295470957679E-2</v>
      </c>
      <c r="P139" s="2">
        <f>R139/(R139+$N$6)</f>
        <v>0.69666295470957651</v>
      </c>
      <c r="Q139" s="2">
        <f t="shared" si="5"/>
        <v>1</v>
      </c>
      <c r="R139" s="2">
        <f>O138+$N$5</f>
        <v>0.22966629547095768</v>
      </c>
    </row>
    <row r="140" spans="5:18" x14ac:dyDescent="0.4">
      <c r="E140">
        <v>8.4999999999999858</v>
      </c>
      <c r="F140">
        <v>8.4690983005624911</v>
      </c>
      <c r="G140">
        <v>0.61803398874989479</v>
      </c>
      <c r="H140">
        <v>0.6180339887498949</v>
      </c>
      <c r="I140">
        <v>8.4190983005624904</v>
      </c>
      <c r="J140">
        <v>1.6180339887498949</v>
      </c>
      <c r="L140" s="2">
        <v>130</v>
      </c>
      <c r="M140" s="2">
        <v>1</v>
      </c>
      <c r="N140" s="2">
        <f t="shared" si="3"/>
        <v>1</v>
      </c>
      <c r="O140" s="2">
        <f t="shared" si="4"/>
        <v>6.9666295470957679E-2</v>
      </c>
      <c r="P140" s="2">
        <f>R140/(R140+$N$6)</f>
        <v>0.69666295470957651</v>
      </c>
      <c r="Q140" s="2">
        <f t="shared" si="5"/>
        <v>1</v>
      </c>
      <c r="R140" s="2">
        <f>O139+$N$5</f>
        <v>0.22966629547095768</v>
      </c>
    </row>
    <row r="141" spans="5:18" x14ac:dyDescent="0.4">
      <c r="E141">
        <v>8.5499999999999865</v>
      </c>
      <c r="F141">
        <v>8.5190983005624918</v>
      </c>
      <c r="G141">
        <v>0.61803398874989479</v>
      </c>
      <c r="H141">
        <v>0.6180339887498949</v>
      </c>
      <c r="I141">
        <v>8.4690983005624911</v>
      </c>
      <c r="J141">
        <v>1.6180339887498949</v>
      </c>
      <c r="L141" s="2">
        <v>131</v>
      </c>
      <c r="M141" s="2">
        <v>1</v>
      </c>
      <c r="N141" s="2">
        <f t="shared" ref="N141:N204" si="6">(1-P141)*Q141+P141*M141</f>
        <v>1</v>
      </c>
      <c r="O141" s="2">
        <f t="shared" ref="O141:O204" si="7">(1-P141)*R141</f>
        <v>6.9666295470957679E-2</v>
      </c>
      <c r="P141" s="2">
        <f>R141/(R141+$N$6)</f>
        <v>0.69666295470957651</v>
      </c>
      <c r="Q141" s="2">
        <f t="shared" ref="Q141:Q204" si="8">N140</f>
        <v>1</v>
      </c>
      <c r="R141" s="2">
        <f>O140+$N$5</f>
        <v>0.22966629547095768</v>
      </c>
    </row>
    <row r="142" spans="5:18" x14ac:dyDescent="0.4">
      <c r="E142">
        <v>8.5999999999999872</v>
      </c>
      <c r="F142">
        <v>8.5690983005624926</v>
      </c>
      <c r="G142">
        <v>0.61803398874989479</v>
      </c>
      <c r="H142">
        <v>0.6180339887498949</v>
      </c>
      <c r="I142">
        <v>8.5190983005624918</v>
      </c>
      <c r="J142">
        <v>1.6180339887498949</v>
      </c>
      <c r="L142" s="2">
        <v>132</v>
      </c>
      <c r="M142" s="2">
        <v>1</v>
      </c>
      <c r="N142" s="2">
        <f t="shared" si="6"/>
        <v>1</v>
      </c>
      <c r="O142" s="2">
        <f t="shared" si="7"/>
        <v>6.9666295470957679E-2</v>
      </c>
      <c r="P142" s="2">
        <f>R142/(R142+$N$6)</f>
        <v>0.69666295470957651</v>
      </c>
      <c r="Q142" s="2">
        <f t="shared" si="8"/>
        <v>1</v>
      </c>
      <c r="R142" s="2">
        <f>O141+$N$5</f>
        <v>0.22966629547095768</v>
      </c>
    </row>
    <row r="143" spans="5:18" x14ac:dyDescent="0.4">
      <c r="E143">
        <v>8.6499999999999879</v>
      </c>
      <c r="F143">
        <v>8.6190983005624933</v>
      </c>
      <c r="G143">
        <v>0.61803398874989479</v>
      </c>
      <c r="H143">
        <v>0.6180339887498949</v>
      </c>
      <c r="I143">
        <v>8.5690983005624926</v>
      </c>
      <c r="J143">
        <v>1.6180339887498949</v>
      </c>
      <c r="L143" s="2">
        <v>133</v>
      </c>
      <c r="M143" s="2">
        <v>1</v>
      </c>
      <c r="N143" s="2">
        <f t="shared" si="6"/>
        <v>1</v>
      </c>
      <c r="O143" s="2">
        <f t="shared" si="7"/>
        <v>6.9666295470957679E-2</v>
      </c>
      <c r="P143" s="2">
        <f>R143/(R143+$N$6)</f>
        <v>0.69666295470957651</v>
      </c>
      <c r="Q143" s="2">
        <f t="shared" si="8"/>
        <v>1</v>
      </c>
      <c r="R143" s="2">
        <f>O142+$N$5</f>
        <v>0.22966629547095768</v>
      </c>
    </row>
    <row r="144" spans="5:18" x14ac:dyDescent="0.4">
      <c r="E144">
        <v>8.6999999999999886</v>
      </c>
      <c r="F144">
        <v>8.6690983005624922</v>
      </c>
      <c r="G144">
        <v>0.61803398874989479</v>
      </c>
      <c r="H144">
        <v>0.6180339887498949</v>
      </c>
      <c r="I144">
        <v>8.6190983005624933</v>
      </c>
      <c r="J144">
        <v>1.6180339887498949</v>
      </c>
      <c r="L144" s="2">
        <v>134</v>
      </c>
      <c r="M144" s="2">
        <v>1</v>
      </c>
      <c r="N144" s="2">
        <f t="shared" si="6"/>
        <v>1</v>
      </c>
      <c r="O144" s="2">
        <f t="shared" si="7"/>
        <v>6.9666295470957679E-2</v>
      </c>
      <c r="P144" s="2">
        <f>R144/(R144+$N$6)</f>
        <v>0.69666295470957651</v>
      </c>
      <c r="Q144" s="2">
        <f t="shared" si="8"/>
        <v>1</v>
      </c>
      <c r="R144" s="2">
        <f>O143+$N$5</f>
        <v>0.22966629547095768</v>
      </c>
    </row>
    <row r="145" spans="5:18" x14ac:dyDescent="0.4">
      <c r="E145">
        <v>8.7499999999999893</v>
      </c>
      <c r="F145">
        <v>8.7190983005624929</v>
      </c>
      <c r="G145">
        <v>0.61803398874989479</v>
      </c>
      <c r="H145">
        <v>0.6180339887498949</v>
      </c>
      <c r="I145">
        <v>8.6690983005624922</v>
      </c>
      <c r="J145">
        <v>1.6180339887498949</v>
      </c>
      <c r="L145" s="2">
        <v>135</v>
      </c>
      <c r="M145" s="2">
        <v>1</v>
      </c>
      <c r="N145" s="2">
        <f t="shared" si="6"/>
        <v>1</v>
      </c>
      <c r="O145" s="2">
        <f t="shared" si="7"/>
        <v>6.9666295470957679E-2</v>
      </c>
      <c r="P145" s="2">
        <f>R145/(R145+$N$6)</f>
        <v>0.69666295470957651</v>
      </c>
      <c r="Q145" s="2">
        <f t="shared" si="8"/>
        <v>1</v>
      </c>
      <c r="R145" s="2">
        <f>O144+$N$5</f>
        <v>0.22966629547095768</v>
      </c>
    </row>
    <row r="146" spans="5:18" x14ac:dyDescent="0.4">
      <c r="E146">
        <v>8.7999999999999901</v>
      </c>
      <c r="F146">
        <v>8.7690983005624936</v>
      </c>
      <c r="G146">
        <v>0.61803398874989479</v>
      </c>
      <c r="H146">
        <v>0.6180339887498949</v>
      </c>
      <c r="I146">
        <v>8.7190983005624929</v>
      </c>
      <c r="J146">
        <v>1.6180339887498949</v>
      </c>
      <c r="L146" s="2">
        <v>136</v>
      </c>
      <c r="M146" s="2">
        <v>1</v>
      </c>
      <c r="N146" s="2">
        <f t="shared" si="6"/>
        <v>1</v>
      </c>
      <c r="O146" s="2">
        <f t="shared" si="7"/>
        <v>6.9666295470957679E-2</v>
      </c>
      <c r="P146" s="2">
        <f>R146/(R146+$N$6)</f>
        <v>0.69666295470957651</v>
      </c>
      <c r="Q146" s="2">
        <f t="shared" si="8"/>
        <v>1</v>
      </c>
      <c r="R146" s="2">
        <f>O145+$N$5</f>
        <v>0.22966629547095768</v>
      </c>
    </row>
    <row r="147" spans="5:18" x14ac:dyDescent="0.4">
      <c r="E147">
        <v>8.8499999999999908</v>
      </c>
      <c r="F147">
        <v>8.8190983005624943</v>
      </c>
      <c r="G147">
        <v>0.61803398874989479</v>
      </c>
      <c r="H147">
        <v>0.6180339887498949</v>
      </c>
      <c r="I147">
        <v>8.7690983005624936</v>
      </c>
      <c r="J147">
        <v>1.6180339887498949</v>
      </c>
      <c r="L147" s="2">
        <v>137</v>
      </c>
      <c r="M147" s="2">
        <v>1</v>
      </c>
      <c r="N147" s="2">
        <f t="shared" si="6"/>
        <v>1</v>
      </c>
      <c r="O147" s="2">
        <f t="shared" si="7"/>
        <v>6.9666295470957679E-2</v>
      </c>
      <c r="P147" s="2">
        <f>R147/(R147+$N$6)</f>
        <v>0.69666295470957651</v>
      </c>
      <c r="Q147" s="2">
        <f t="shared" si="8"/>
        <v>1</v>
      </c>
      <c r="R147" s="2">
        <f>O146+$N$5</f>
        <v>0.22966629547095768</v>
      </c>
    </row>
    <row r="148" spans="5:18" x14ac:dyDescent="0.4">
      <c r="E148">
        <v>8.8999999999999915</v>
      </c>
      <c r="F148">
        <v>8.869098300562495</v>
      </c>
      <c r="G148">
        <v>0.61803398874989479</v>
      </c>
      <c r="H148">
        <v>0.6180339887498949</v>
      </c>
      <c r="I148">
        <v>8.8190983005624943</v>
      </c>
      <c r="J148">
        <v>1.6180339887498949</v>
      </c>
      <c r="L148" s="2">
        <v>138</v>
      </c>
      <c r="M148" s="2">
        <v>1</v>
      </c>
      <c r="N148" s="2">
        <f t="shared" si="6"/>
        <v>1</v>
      </c>
      <c r="O148" s="2">
        <f t="shared" si="7"/>
        <v>6.9666295470957679E-2</v>
      </c>
      <c r="P148" s="2">
        <f>R148/(R148+$N$6)</f>
        <v>0.69666295470957651</v>
      </c>
      <c r="Q148" s="2">
        <f t="shared" si="8"/>
        <v>1</v>
      </c>
      <c r="R148" s="2">
        <f>O147+$N$5</f>
        <v>0.22966629547095768</v>
      </c>
    </row>
    <row r="149" spans="5:18" x14ac:dyDescent="0.4">
      <c r="E149">
        <v>8.9499999999999922</v>
      </c>
      <c r="F149">
        <v>8.9190983005624958</v>
      </c>
      <c r="G149">
        <v>0.61803398874989479</v>
      </c>
      <c r="H149">
        <v>0.6180339887498949</v>
      </c>
      <c r="I149">
        <v>8.869098300562495</v>
      </c>
      <c r="J149">
        <v>1.6180339887498949</v>
      </c>
      <c r="L149" s="2">
        <v>139</v>
      </c>
      <c r="M149" s="2">
        <v>1</v>
      </c>
      <c r="N149" s="2">
        <f t="shared" si="6"/>
        <v>1</v>
      </c>
      <c r="O149" s="2">
        <f t="shared" si="7"/>
        <v>6.9666295470957679E-2</v>
      </c>
      <c r="P149" s="2">
        <f>R149/(R149+$N$6)</f>
        <v>0.69666295470957651</v>
      </c>
      <c r="Q149" s="2">
        <f t="shared" si="8"/>
        <v>1</v>
      </c>
      <c r="R149" s="2">
        <f>O148+$N$5</f>
        <v>0.22966629547095768</v>
      </c>
    </row>
    <row r="150" spans="5:18" x14ac:dyDescent="0.4">
      <c r="E150">
        <v>8.9999999999999929</v>
      </c>
      <c r="F150">
        <v>8.9690983005624965</v>
      </c>
      <c r="G150">
        <v>0.61803398874989479</v>
      </c>
      <c r="H150">
        <v>0.6180339887498949</v>
      </c>
      <c r="I150">
        <v>8.9190983005624958</v>
      </c>
      <c r="J150">
        <v>1.6180339887498949</v>
      </c>
      <c r="L150" s="2">
        <v>140</v>
      </c>
      <c r="M150" s="2">
        <v>1</v>
      </c>
      <c r="N150" s="2">
        <f t="shared" si="6"/>
        <v>1</v>
      </c>
      <c r="O150" s="2">
        <f t="shared" si="7"/>
        <v>6.9666295470957679E-2</v>
      </c>
      <c r="P150" s="2">
        <f>R150/(R150+$N$6)</f>
        <v>0.69666295470957651</v>
      </c>
      <c r="Q150" s="2">
        <f t="shared" si="8"/>
        <v>1</v>
      </c>
      <c r="R150" s="2">
        <f>O149+$N$5</f>
        <v>0.22966629547095768</v>
      </c>
    </row>
    <row r="151" spans="5:18" x14ac:dyDescent="0.4">
      <c r="E151">
        <v>9.0499999999999936</v>
      </c>
      <c r="F151">
        <v>9.0190983005624972</v>
      </c>
      <c r="G151">
        <v>0.61803398874989479</v>
      </c>
      <c r="H151">
        <v>0.6180339887498949</v>
      </c>
      <c r="I151">
        <v>8.9690983005624965</v>
      </c>
      <c r="J151">
        <v>1.6180339887498949</v>
      </c>
      <c r="L151" s="2">
        <v>141</v>
      </c>
      <c r="M151" s="2">
        <v>1</v>
      </c>
      <c r="N151" s="2">
        <f t="shared" si="6"/>
        <v>1</v>
      </c>
      <c r="O151" s="2">
        <f t="shared" si="7"/>
        <v>6.9666295470957679E-2</v>
      </c>
      <c r="P151" s="2">
        <f>R151/(R151+$N$6)</f>
        <v>0.69666295470957651</v>
      </c>
      <c r="Q151" s="2">
        <f t="shared" si="8"/>
        <v>1</v>
      </c>
      <c r="R151" s="2">
        <f>O150+$N$5</f>
        <v>0.22966629547095768</v>
      </c>
    </row>
    <row r="152" spans="5:18" x14ac:dyDescent="0.4">
      <c r="E152">
        <v>9.0999999999999943</v>
      </c>
      <c r="F152">
        <v>9.0690983005624979</v>
      </c>
      <c r="G152">
        <v>0.61803398874989479</v>
      </c>
      <c r="H152">
        <v>0.6180339887498949</v>
      </c>
      <c r="I152">
        <v>9.0190983005624972</v>
      </c>
      <c r="J152">
        <v>1.6180339887498949</v>
      </c>
      <c r="L152" s="2">
        <v>142</v>
      </c>
      <c r="M152" s="2">
        <v>1</v>
      </c>
      <c r="N152" s="2">
        <f t="shared" si="6"/>
        <v>1</v>
      </c>
      <c r="O152" s="2">
        <f t="shared" si="7"/>
        <v>6.9666295470957679E-2</v>
      </c>
      <c r="P152" s="2">
        <f>R152/(R152+$N$6)</f>
        <v>0.69666295470957651</v>
      </c>
      <c r="Q152" s="2">
        <f t="shared" si="8"/>
        <v>1</v>
      </c>
      <c r="R152" s="2">
        <f>O151+$N$5</f>
        <v>0.22966629547095768</v>
      </c>
    </row>
    <row r="153" spans="5:18" x14ac:dyDescent="0.4">
      <c r="E153">
        <v>9.149999999999995</v>
      </c>
      <c r="F153">
        <v>9.1190983005624986</v>
      </c>
      <c r="G153">
        <v>0.61803398874989479</v>
      </c>
      <c r="H153">
        <v>0.6180339887498949</v>
      </c>
      <c r="I153">
        <v>9.0690983005624979</v>
      </c>
      <c r="J153">
        <v>1.6180339887498949</v>
      </c>
      <c r="L153" s="2">
        <v>143</v>
      </c>
      <c r="M153" s="2">
        <v>1</v>
      </c>
      <c r="N153" s="2">
        <f t="shared" si="6"/>
        <v>1</v>
      </c>
      <c r="O153" s="2">
        <f t="shared" si="7"/>
        <v>6.9666295470957679E-2</v>
      </c>
      <c r="P153" s="2">
        <f>R153/(R153+$N$6)</f>
        <v>0.69666295470957651</v>
      </c>
      <c r="Q153" s="2">
        <f t="shared" si="8"/>
        <v>1</v>
      </c>
      <c r="R153" s="2">
        <f>O152+$N$5</f>
        <v>0.22966629547095768</v>
      </c>
    </row>
    <row r="154" spans="5:18" x14ac:dyDescent="0.4">
      <c r="E154">
        <v>9.1999999999999957</v>
      </c>
      <c r="F154">
        <v>9.1690983005624993</v>
      </c>
      <c r="G154">
        <v>0.61803398874989479</v>
      </c>
      <c r="H154">
        <v>0.6180339887498949</v>
      </c>
      <c r="I154">
        <v>9.1190983005624986</v>
      </c>
      <c r="J154">
        <v>1.6180339887498949</v>
      </c>
      <c r="L154" s="2">
        <v>144</v>
      </c>
      <c r="M154" s="2">
        <v>1</v>
      </c>
      <c r="N154" s="2">
        <f t="shared" si="6"/>
        <v>1</v>
      </c>
      <c r="O154" s="2">
        <f t="shared" si="7"/>
        <v>6.9666295470957679E-2</v>
      </c>
      <c r="P154" s="2">
        <f>R154/(R154+$N$6)</f>
        <v>0.69666295470957651</v>
      </c>
      <c r="Q154" s="2">
        <f t="shared" si="8"/>
        <v>1</v>
      </c>
      <c r="R154" s="2">
        <f>O153+$N$5</f>
        <v>0.22966629547095768</v>
      </c>
    </row>
    <row r="155" spans="5:18" x14ac:dyDescent="0.4">
      <c r="E155">
        <v>9.2499999999999964</v>
      </c>
      <c r="F155">
        <v>9.2190983005625</v>
      </c>
      <c r="G155">
        <v>0.61803398874989479</v>
      </c>
      <c r="H155">
        <v>0.6180339887498949</v>
      </c>
      <c r="I155">
        <v>9.1690983005624993</v>
      </c>
      <c r="J155">
        <v>1.6180339887498949</v>
      </c>
      <c r="L155" s="2">
        <v>145</v>
      </c>
      <c r="M155" s="2">
        <v>1</v>
      </c>
      <c r="N155" s="2">
        <f t="shared" si="6"/>
        <v>1</v>
      </c>
      <c r="O155" s="2">
        <f t="shared" si="7"/>
        <v>6.9666295470957679E-2</v>
      </c>
      <c r="P155" s="2">
        <f>R155/(R155+$N$6)</f>
        <v>0.69666295470957651</v>
      </c>
      <c r="Q155" s="2">
        <f t="shared" si="8"/>
        <v>1</v>
      </c>
      <c r="R155" s="2">
        <f>O154+$N$5</f>
        <v>0.22966629547095768</v>
      </c>
    </row>
    <row r="156" spans="5:18" x14ac:dyDescent="0.4">
      <c r="E156">
        <v>9.2999999999999972</v>
      </c>
      <c r="F156">
        <v>9.2690983005625025</v>
      </c>
      <c r="G156">
        <v>0.61803398874989479</v>
      </c>
      <c r="H156">
        <v>0.6180339887498949</v>
      </c>
      <c r="I156">
        <v>9.2190983005625</v>
      </c>
      <c r="J156">
        <v>1.6180339887498949</v>
      </c>
      <c r="L156" s="2">
        <v>146</v>
      </c>
      <c r="M156" s="2">
        <v>1</v>
      </c>
      <c r="N156" s="2">
        <f t="shared" si="6"/>
        <v>1</v>
      </c>
      <c r="O156" s="2">
        <f t="shared" si="7"/>
        <v>6.9666295470957679E-2</v>
      </c>
      <c r="P156" s="2">
        <f>R156/(R156+$N$6)</f>
        <v>0.69666295470957651</v>
      </c>
      <c r="Q156" s="2">
        <f t="shared" si="8"/>
        <v>1</v>
      </c>
      <c r="R156" s="2">
        <f>O155+$N$5</f>
        <v>0.22966629547095768</v>
      </c>
    </row>
    <row r="157" spans="5:18" x14ac:dyDescent="0.4">
      <c r="E157">
        <v>9.3499999999999979</v>
      </c>
      <c r="F157">
        <v>9.3190983005625032</v>
      </c>
      <c r="G157">
        <v>0.61803398874989479</v>
      </c>
      <c r="H157">
        <v>0.6180339887498949</v>
      </c>
      <c r="I157">
        <v>9.2690983005625025</v>
      </c>
      <c r="J157">
        <v>1.6180339887498949</v>
      </c>
      <c r="L157" s="2">
        <v>147</v>
      </c>
      <c r="M157" s="2">
        <v>1</v>
      </c>
      <c r="N157" s="2">
        <f t="shared" si="6"/>
        <v>1</v>
      </c>
      <c r="O157" s="2">
        <f t="shared" si="7"/>
        <v>6.9666295470957679E-2</v>
      </c>
      <c r="P157" s="2">
        <f>R157/(R157+$N$6)</f>
        <v>0.69666295470957651</v>
      </c>
      <c r="Q157" s="2">
        <f t="shared" si="8"/>
        <v>1</v>
      </c>
      <c r="R157" s="2">
        <f>O156+$N$5</f>
        <v>0.22966629547095768</v>
      </c>
    </row>
    <row r="158" spans="5:18" x14ac:dyDescent="0.4">
      <c r="E158">
        <v>9.3999999999999986</v>
      </c>
      <c r="F158">
        <v>9.3690983005625039</v>
      </c>
      <c r="G158">
        <v>0.61803398874989479</v>
      </c>
      <c r="H158">
        <v>0.6180339887498949</v>
      </c>
      <c r="I158">
        <v>9.3190983005625032</v>
      </c>
      <c r="J158">
        <v>1.6180339887498949</v>
      </c>
      <c r="L158" s="2">
        <v>148</v>
      </c>
      <c r="M158" s="2">
        <v>1</v>
      </c>
      <c r="N158" s="2">
        <f t="shared" si="6"/>
        <v>1</v>
      </c>
      <c r="O158" s="2">
        <f t="shared" si="7"/>
        <v>6.9666295470957679E-2</v>
      </c>
      <c r="P158" s="2">
        <f>R158/(R158+$N$6)</f>
        <v>0.69666295470957651</v>
      </c>
      <c r="Q158" s="2">
        <f t="shared" si="8"/>
        <v>1</v>
      </c>
      <c r="R158" s="2">
        <f>O157+$N$5</f>
        <v>0.22966629547095768</v>
      </c>
    </row>
    <row r="159" spans="5:18" x14ac:dyDescent="0.4">
      <c r="E159">
        <v>9.4499999999999993</v>
      </c>
      <c r="F159">
        <v>9.4190983005625029</v>
      </c>
      <c r="G159">
        <v>0.61803398874989479</v>
      </c>
      <c r="H159">
        <v>0.6180339887498949</v>
      </c>
      <c r="I159">
        <v>9.3690983005625039</v>
      </c>
      <c r="J159">
        <v>1.6180339887498949</v>
      </c>
      <c r="L159" s="2">
        <v>149</v>
      </c>
      <c r="M159" s="2">
        <v>1</v>
      </c>
      <c r="N159" s="2">
        <f t="shared" si="6"/>
        <v>1</v>
      </c>
      <c r="O159" s="2">
        <f t="shared" si="7"/>
        <v>6.9666295470957679E-2</v>
      </c>
      <c r="P159" s="2">
        <f>R159/(R159+$N$6)</f>
        <v>0.69666295470957651</v>
      </c>
      <c r="Q159" s="2">
        <f t="shared" si="8"/>
        <v>1</v>
      </c>
      <c r="R159" s="2">
        <f>O158+$N$5</f>
        <v>0.22966629547095768</v>
      </c>
    </row>
    <row r="160" spans="5:18" x14ac:dyDescent="0.4">
      <c r="E160">
        <v>9.5</v>
      </c>
      <c r="F160">
        <v>9.4690983005625036</v>
      </c>
      <c r="G160">
        <v>0.61803398874989479</v>
      </c>
      <c r="H160">
        <v>0.6180339887498949</v>
      </c>
      <c r="I160">
        <v>9.4190983005625029</v>
      </c>
      <c r="J160">
        <v>1.6180339887498949</v>
      </c>
      <c r="L160" s="2">
        <v>150</v>
      </c>
      <c r="M160" s="2">
        <v>1</v>
      </c>
      <c r="N160" s="2">
        <f t="shared" si="6"/>
        <v>1</v>
      </c>
      <c r="O160" s="2">
        <f t="shared" si="7"/>
        <v>6.9666295470957679E-2</v>
      </c>
      <c r="P160" s="2">
        <f>R160/(R160+$N$6)</f>
        <v>0.69666295470957651</v>
      </c>
      <c r="Q160" s="2">
        <f t="shared" si="8"/>
        <v>1</v>
      </c>
      <c r="R160" s="2">
        <f>O159+$N$5</f>
        <v>0.22966629547095768</v>
      </c>
    </row>
    <row r="161" spans="5:18" x14ac:dyDescent="0.4">
      <c r="E161">
        <v>9.5500000000000007</v>
      </c>
      <c r="F161">
        <v>9.5190983005625061</v>
      </c>
      <c r="G161">
        <v>0.61803398874989479</v>
      </c>
      <c r="H161">
        <v>0.6180339887498949</v>
      </c>
      <c r="I161">
        <v>9.4690983005625036</v>
      </c>
      <c r="J161">
        <v>1.6180339887498949</v>
      </c>
      <c r="L161" s="2">
        <v>151</v>
      </c>
      <c r="M161" s="2">
        <v>1</v>
      </c>
      <c r="N161" s="2">
        <f t="shared" si="6"/>
        <v>1</v>
      </c>
      <c r="O161" s="2">
        <f t="shared" si="7"/>
        <v>6.9666295470957679E-2</v>
      </c>
      <c r="P161" s="2">
        <f>R161/(R161+$N$6)</f>
        <v>0.69666295470957651</v>
      </c>
      <c r="Q161" s="2">
        <f t="shared" si="8"/>
        <v>1</v>
      </c>
      <c r="R161" s="2">
        <f>O160+$N$5</f>
        <v>0.22966629547095768</v>
      </c>
    </row>
    <row r="162" spans="5:18" x14ac:dyDescent="0.4">
      <c r="E162">
        <v>9.6000000000000014</v>
      </c>
      <c r="F162">
        <v>9.5690983005625068</v>
      </c>
      <c r="G162">
        <v>0.61803398874989479</v>
      </c>
      <c r="H162">
        <v>0.6180339887498949</v>
      </c>
      <c r="I162">
        <v>9.5190983005625061</v>
      </c>
      <c r="J162">
        <v>1.6180339887498949</v>
      </c>
      <c r="L162" s="2">
        <v>152</v>
      </c>
      <c r="M162" s="2">
        <v>1</v>
      </c>
      <c r="N162" s="2">
        <f t="shared" si="6"/>
        <v>1</v>
      </c>
      <c r="O162" s="2">
        <f t="shared" si="7"/>
        <v>6.9666295470957679E-2</v>
      </c>
      <c r="P162" s="2">
        <f>R162/(R162+$N$6)</f>
        <v>0.69666295470957651</v>
      </c>
      <c r="Q162" s="2">
        <f t="shared" si="8"/>
        <v>1</v>
      </c>
      <c r="R162" s="2">
        <f>O161+$N$5</f>
        <v>0.22966629547095768</v>
      </c>
    </row>
    <row r="163" spans="5:18" x14ac:dyDescent="0.4">
      <c r="E163">
        <v>9.6500000000000021</v>
      </c>
      <c r="F163">
        <v>9.6190983005625075</v>
      </c>
      <c r="G163">
        <v>0.61803398874989479</v>
      </c>
      <c r="H163">
        <v>0.6180339887498949</v>
      </c>
      <c r="I163">
        <v>9.5690983005625068</v>
      </c>
      <c r="J163">
        <v>1.6180339887498949</v>
      </c>
      <c r="L163" s="2">
        <v>153</v>
      </c>
      <c r="M163" s="2">
        <v>1</v>
      </c>
      <c r="N163" s="2">
        <f t="shared" si="6"/>
        <v>1</v>
      </c>
      <c r="O163" s="2">
        <f t="shared" si="7"/>
        <v>6.9666295470957679E-2</v>
      </c>
      <c r="P163" s="2">
        <f>R163/(R163+$N$6)</f>
        <v>0.69666295470957651</v>
      </c>
      <c r="Q163" s="2">
        <f t="shared" si="8"/>
        <v>1</v>
      </c>
      <c r="R163" s="2">
        <f>O162+$N$5</f>
        <v>0.22966629547095768</v>
      </c>
    </row>
    <row r="164" spans="5:18" x14ac:dyDescent="0.4">
      <c r="E164">
        <v>9.7000000000000028</v>
      </c>
      <c r="F164">
        <v>9.6690983005625082</v>
      </c>
      <c r="G164">
        <v>0.61803398874989479</v>
      </c>
      <c r="H164">
        <v>0.6180339887498949</v>
      </c>
      <c r="I164">
        <v>9.6190983005625075</v>
      </c>
      <c r="J164">
        <v>1.6180339887498949</v>
      </c>
      <c r="L164" s="2">
        <v>154</v>
      </c>
      <c r="M164" s="2">
        <v>1</v>
      </c>
      <c r="N164" s="2">
        <f t="shared" si="6"/>
        <v>1</v>
      </c>
      <c r="O164" s="2">
        <f t="shared" si="7"/>
        <v>6.9666295470957679E-2</v>
      </c>
      <c r="P164" s="2">
        <f>R164/(R164+$N$6)</f>
        <v>0.69666295470957651</v>
      </c>
      <c r="Q164" s="2">
        <f t="shared" si="8"/>
        <v>1</v>
      </c>
      <c r="R164" s="2">
        <f>O163+$N$5</f>
        <v>0.22966629547095768</v>
      </c>
    </row>
    <row r="165" spans="5:18" x14ac:dyDescent="0.4">
      <c r="E165">
        <v>9.7500000000000036</v>
      </c>
      <c r="F165">
        <v>9.7190983005625089</v>
      </c>
      <c r="G165">
        <v>0.61803398874989479</v>
      </c>
      <c r="H165">
        <v>0.6180339887498949</v>
      </c>
      <c r="I165">
        <v>9.6690983005625082</v>
      </c>
      <c r="J165">
        <v>1.6180339887498949</v>
      </c>
      <c r="L165" s="2">
        <v>155</v>
      </c>
      <c r="M165" s="2">
        <v>1</v>
      </c>
      <c r="N165" s="2">
        <f t="shared" si="6"/>
        <v>1</v>
      </c>
      <c r="O165" s="2">
        <f t="shared" si="7"/>
        <v>6.9666295470957679E-2</v>
      </c>
      <c r="P165" s="2">
        <f>R165/(R165+$N$6)</f>
        <v>0.69666295470957651</v>
      </c>
      <c r="Q165" s="2">
        <f t="shared" si="8"/>
        <v>1</v>
      </c>
      <c r="R165" s="2">
        <f>O164+$N$5</f>
        <v>0.22966629547095768</v>
      </c>
    </row>
    <row r="166" spans="5:18" x14ac:dyDescent="0.4">
      <c r="E166">
        <v>9.8000000000000043</v>
      </c>
      <c r="F166">
        <v>9.7690983005625096</v>
      </c>
      <c r="G166">
        <v>0.61803398874989479</v>
      </c>
      <c r="H166">
        <v>0.6180339887498949</v>
      </c>
      <c r="I166">
        <v>9.7190983005625089</v>
      </c>
      <c r="J166">
        <v>1.6180339887498949</v>
      </c>
      <c r="L166" s="2">
        <v>156</v>
      </c>
      <c r="M166" s="2">
        <v>1</v>
      </c>
      <c r="N166" s="2">
        <f t="shared" si="6"/>
        <v>1</v>
      </c>
      <c r="O166" s="2">
        <f t="shared" si="7"/>
        <v>6.9666295470957679E-2</v>
      </c>
      <c r="P166" s="2">
        <f>R166/(R166+$N$6)</f>
        <v>0.69666295470957651</v>
      </c>
      <c r="Q166" s="2">
        <f t="shared" si="8"/>
        <v>1</v>
      </c>
      <c r="R166" s="2">
        <f>O165+$N$5</f>
        <v>0.22966629547095768</v>
      </c>
    </row>
    <row r="167" spans="5:18" x14ac:dyDescent="0.4">
      <c r="E167">
        <v>9.850000000000005</v>
      </c>
      <c r="F167">
        <v>9.8190983005625103</v>
      </c>
      <c r="G167">
        <v>0.61803398874989479</v>
      </c>
      <c r="H167">
        <v>0.6180339887498949</v>
      </c>
      <c r="I167">
        <v>9.7690983005625096</v>
      </c>
      <c r="J167">
        <v>1.6180339887498949</v>
      </c>
      <c r="L167" s="2">
        <v>157</v>
      </c>
      <c r="M167" s="2">
        <v>1</v>
      </c>
      <c r="N167" s="2">
        <f t="shared" si="6"/>
        <v>1</v>
      </c>
      <c r="O167" s="2">
        <f t="shared" si="7"/>
        <v>6.9666295470957679E-2</v>
      </c>
      <c r="P167" s="2">
        <f>R167/(R167+$N$6)</f>
        <v>0.69666295470957651</v>
      </c>
      <c r="Q167" s="2">
        <f t="shared" si="8"/>
        <v>1</v>
      </c>
      <c r="R167" s="2">
        <f>O166+$N$5</f>
        <v>0.22966629547095768</v>
      </c>
    </row>
    <row r="168" spans="5:18" x14ac:dyDescent="0.4">
      <c r="E168">
        <v>9.9000000000000057</v>
      </c>
      <c r="F168">
        <v>9.869098300562511</v>
      </c>
      <c r="G168">
        <v>0.61803398874989479</v>
      </c>
      <c r="H168">
        <v>0.6180339887498949</v>
      </c>
      <c r="I168">
        <v>9.8190983005625103</v>
      </c>
      <c r="J168">
        <v>1.6180339887498949</v>
      </c>
      <c r="L168" s="2">
        <v>158</v>
      </c>
      <c r="M168" s="2">
        <v>1</v>
      </c>
      <c r="N168" s="2">
        <f t="shared" si="6"/>
        <v>1</v>
      </c>
      <c r="O168" s="2">
        <f t="shared" si="7"/>
        <v>6.9666295470957679E-2</v>
      </c>
      <c r="P168" s="2">
        <f>R168/(R168+$N$6)</f>
        <v>0.69666295470957651</v>
      </c>
      <c r="Q168" s="2">
        <f t="shared" si="8"/>
        <v>1</v>
      </c>
      <c r="R168" s="2">
        <f>O167+$N$5</f>
        <v>0.22966629547095768</v>
      </c>
    </row>
    <row r="169" spans="5:18" x14ac:dyDescent="0.4">
      <c r="E169">
        <v>9.9500000000000064</v>
      </c>
      <c r="F169">
        <v>9.9190983005625117</v>
      </c>
      <c r="G169">
        <v>0.61803398874989479</v>
      </c>
      <c r="H169">
        <v>0.6180339887498949</v>
      </c>
      <c r="I169">
        <v>9.869098300562511</v>
      </c>
      <c r="J169">
        <v>1.6180339887498949</v>
      </c>
      <c r="L169" s="2">
        <v>159</v>
      </c>
      <c r="M169" s="2">
        <v>1</v>
      </c>
      <c r="N169" s="2">
        <f t="shared" si="6"/>
        <v>1</v>
      </c>
      <c r="O169" s="2">
        <f t="shared" si="7"/>
        <v>6.9666295470957679E-2</v>
      </c>
      <c r="P169" s="2">
        <f>R169/(R169+$N$6)</f>
        <v>0.69666295470957651</v>
      </c>
      <c r="Q169" s="2">
        <f t="shared" si="8"/>
        <v>1</v>
      </c>
      <c r="R169" s="2">
        <f>O168+$N$5</f>
        <v>0.22966629547095768</v>
      </c>
    </row>
    <row r="170" spans="5:18" x14ac:dyDescent="0.4">
      <c r="E170">
        <v>10.000000000000007</v>
      </c>
      <c r="F170">
        <v>9.9690983005625124</v>
      </c>
      <c r="G170">
        <v>0.61803398874989479</v>
      </c>
      <c r="H170">
        <v>0.6180339887498949</v>
      </c>
      <c r="I170">
        <v>9.9190983005625117</v>
      </c>
      <c r="J170">
        <v>1.6180339887498949</v>
      </c>
      <c r="L170" s="2">
        <v>160</v>
      </c>
      <c r="M170" s="2">
        <v>1</v>
      </c>
      <c r="N170" s="2">
        <f t="shared" si="6"/>
        <v>1</v>
      </c>
      <c r="O170" s="2">
        <f t="shared" si="7"/>
        <v>6.9666295470957679E-2</v>
      </c>
      <c r="P170" s="2">
        <f>R170/(R170+$N$6)</f>
        <v>0.69666295470957651</v>
      </c>
      <c r="Q170" s="2">
        <f t="shared" si="8"/>
        <v>1</v>
      </c>
      <c r="R170" s="2">
        <f>O169+$N$5</f>
        <v>0.22966629547095768</v>
      </c>
    </row>
    <row r="171" spans="5:18" x14ac:dyDescent="0.4">
      <c r="E171">
        <v>10.050000000000008</v>
      </c>
      <c r="F171">
        <v>10.019098300562513</v>
      </c>
      <c r="G171">
        <v>0.61803398874989479</v>
      </c>
      <c r="H171">
        <v>0.6180339887498949</v>
      </c>
      <c r="I171">
        <v>9.9690983005625124</v>
      </c>
      <c r="J171">
        <v>1.6180339887498949</v>
      </c>
      <c r="L171" s="2">
        <v>161</v>
      </c>
      <c r="M171" s="2">
        <v>1</v>
      </c>
      <c r="N171" s="2">
        <f t="shared" si="6"/>
        <v>1</v>
      </c>
      <c r="O171" s="2">
        <f t="shared" si="7"/>
        <v>6.9666295470957679E-2</v>
      </c>
      <c r="P171" s="2">
        <f>R171/(R171+$N$6)</f>
        <v>0.69666295470957651</v>
      </c>
      <c r="Q171" s="2">
        <f t="shared" si="8"/>
        <v>1</v>
      </c>
      <c r="R171" s="2">
        <f>O170+$N$5</f>
        <v>0.22966629547095768</v>
      </c>
    </row>
    <row r="172" spans="5:18" x14ac:dyDescent="0.4">
      <c r="E172">
        <v>10.100000000000009</v>
      </c>
      <c r="F172">
        <v>10.069098300562514</v>
      </c>
      <c r="G172">
        <v>0.61803398874989479</v>
      </c>
      <c r="H172">
        <v>0.6180339887498949</v>
      </c>
      <c r="I172">
        <v>10.019098300562513</v>
      </c>
      <c r="J172">
        <v>1.6180339887498949</v>
      </c>
      <c r="L172" s="2">
        <v>162</v>
      </c>
      <c r="M172" s="2">
        <v>1</v>
      </c>
      <c r="N172" s="2">
        <f t="shared" si="6"/>
        <v>1</v>
      </c>
      <c r="O172" s="2">
        <f t="shared" si="7"/>
        <v>6.9666295470957679E-2</v>
      </c>
      <c r="P172" s="2">
        <f>R172/(R172+$N$6)</f>
        <v>0.69666295470957651</v>
      </c>
      <c r="Q172" s="2">
        <f t="shared" si="8"/>
        <v>1</v>
      </c>
      <c r="R172" s="2">
        <f>O171+$N$5</f>
        <v>0.22966629547095768</v>
      </c>
    </row>
    <row r="173" spans="5:18" x14ac:dyDescent="0.4">
      <c r="E173">
        <v>10.150000000000009</v>
      </c>
      <c r="F173">
        <v>10.119098300562515</v>
      </c>
      <c r="G173">
        <v>0.61803398874989479</v>
      </c>
      <c r="H173">
        <v>0.6180339887498949</v>
      </c>
      <c r="I173">
        <v>10.069098300562514</v>
      </c>
      <c r="J173">
        <v>1.6180339887498949</v>
      </c>
      <c r="L173" s="2">
        <v>163</v>
      </c>
      <c r="M173" s="2">
        <v>1</v>
      </c>
      <c r="N173" s="2">
        <f t="shared" si="6"/>
        <v>1</v>
      </c>
      <c r="O173" s="2">
        <f t="shared" si="7"/>
        <v>6.9666295470957679E-2</v>
      </c>
      <c r="P173" s="2">
        <f>R173/(R173+$N$6)</f>
        <v>0.69666295470957651</v>
      </c>
      <c r="Q173" s="2">
        <f t="shared" si="8"/>
        <v>1</v>
      </c>
      <c r="R173" s="2">
        <f>O172+$N$5</f>
        <v>0.22966629547095768</v>
      </c>
    </row>
    <row r="174" spans="5:18" x14ac:dyDescent="0.4">
      <c r="E174">
        <v>10.20000000000001</v>
      </c>
      <c r="F174">
        <v>10.169098300562515</v>
      </c>
      <c r="G174">
        <v>0.61803398874989479</v>
      </c>
      <c r="H174">
        <v>0.6180339887498949</v>
      </c>
      <c r="I174">
        <v>10.119098300562515</v>
      </c>
      <c r="J174">
        <v>1.6180339887498949</v>
      </c>
      <c r="L174" s="2">
        <v>164</v>
      </c>
      <c r="M174" s="2">
        <v>1</v>
      </c>
      <c r="N174" s="2">
        <f t="shared" si="6"/>
        <v>1</v>
      </c>
      <c r="O174" s="2">
        <f t="shared" si="7"/>
        <v>6.9666295470957679E-2</v>
      </c>
      <c r="P174" s="2">
        <f>R174/(R174+$N$6)</f>
        <v>0.69666295470957651</v>
      </c>
      <c r="Q174" s="2">
        <f t="shared" si="8"/>
        <v>1</v>
      </c>
      <c r="R174" s="2">
        <f>O173+$N$5</f>
        <v>0.22966629547095768</v>
      </c>
    </row>
    <row r="175" spans="5:18" x14ac:dyDescent="0.4">
      <c r="E175">
        <v>10.250000000000011</v>
      </c>
      <c r="F175">
        <v>10.219098300562516</v>
      </c>
      <c r="G175">
        <v>0.61803398874989479</v>
      </c>
      <c r="H175">
        <v>0.6180339887498949</v>
      </c>
      <c r="I175">
        <v>10.169098300562515</v>
      </c>
      <c r="J175">
        <v>1.6180339887498949</v>
      </c>
      <c r="L175" s="2">
        <v>165</v>
      </c>
      <c r="M175" s="2">
        <v>1</v>
      </c>
      <c r="N175" s="2">
        <f t="shared" si="6"/>
        <v>1</v>
      </c>
      <c r="O175" s="2">
        <f t="shared" si="7"/>
        <v>6.9666295470957679E-2</v>
      </c>
      <c r="P175" s="2">
        <f>R175/(R175+$N$6)</f>
        <v>0.69666295470957651</v>
      </c>
      <c r="Q175" s="2">
        <f t="shared" si="8"/>
        <v>1</v>
      </c>
      <c r="R175" s="2">
        <f>O174+$N$5</f>
        <v>0.22966629547095768</v>
      </c>
    </row>
    <row r="176" spans="5:18" x14ac:dyDescent="0.4">
      <c r="E176">
        <v>10.300000000000011</v>
      </c>
      <c r="F176">
        <v>10.269098300562517</v>
      </c>
      <c r="G176">
        <v>0.61803398874989479</v>
      </c>
      <c r="H176">
        <v>0.6180339887498949</v>
      </c>
      <c r="I176">
        <v>10.219098300562516</v>
      </c>
      <c r="J176">
        <v>1.6180339887498949</v>
      </c>
      <c r="L176" s="2">
        <v>166</v>
      </c>
      <c r="M176" s="2">
        <v>1</v>
      </c>
      <c r="N176" s="2">
        <f t="shared" si="6"/>
        <v>1</v>
      </c>
      <c r="O176" s="2">
        <f t="shared" si="7"/>
        <v>6.9666295470957679E-2</v>
      </c>
      <c r="P176" s="2">
        <f>R176/(R176+$N$6)</f>
        <v>0.69666295470957651</v>
      </c>
      <c r="Q176" s="2">
        <f t="shared" si="8"/>
        <v>1</v>
      </c>
      <c r="R176" s="2">
        <f>O175+$N$5</f>
        <v>0.22966629547095768</v>
      </c>
    </row>
    <row r="177" spans="5:18" x14ac:dyDescent="0.4">
      <c r="E177">
        <v>10.350000000000012</v>
      </c>
      <c r="F177">
        <v>10.319098300562517</v>
      </c>
      <c r="G177">
        <v>0.61803398874989479</v>
      </c>
      <c r="H177">
        <v>0.6180339887498949</v>
      </c>
      <c r="I177">
        <v>10.269098300562517</v>
      </c>
      <c r="J177">
        <v>1.6180339887498949</v>
      </c>
      <c r="L177" s="2">
        <v>167</v>
      </c>
      <c r="M177" s="2">
        <v>1</v>
      </c>
      <c r="N177" s="2">
        <f t="shared" si="6"/>
        <v>1</v>
      </c>
      <c r="O177" s="2">
        <f t="shared" si="7"/>
        <v>6.9666295470957679E-2</v>
      </c>
      <c r="P177" s="2">
        <f>R177/(R177+$N$6)</f>
        <v>0.69666295470957651</v>
      </c>
      <c r="Q177" s="2">
        <f t="shared" si="8"/>
        <v>1</v>
      </c>
      <c r="R177" s="2">
        <f>O176+$N$5</f>
        <v>0.22966629547095768</v>
      </c>
    </row>
    <row r="178" spans="5:18" x14ac:dyDescent="0.4">
      <c r="E178">
        <v>10.400000000000013</v>
      </c>
      <c r="F178">
        <v>10.369098300562518</v>
      </c>
      <c r="G178">
        <v>0.61803398874989479</v>
      </c>
      <c r="H178">
        <v>0.6180339887498949</v>
      </c>
      <c r="I178">
        <v>10.319098300562517</v>
      </c>
      <c r="J178">
        <v>1.6180339887498949</v>
      </c>
      <c r="L178" s="2">
        <v>168</v>
      </c>
      <c r="M178" s="2">
        <v>1</v>
      </c>
      <c r="N178" s="2">
        <f t="shared" si="6"/>
        <v>1</v>
      </c>
      <c r="O178" s="2">
        <f t="shared" si="7"/>
        <v>6.9666295470957679E-2</v>
      </c>
      <c r="P178" s="2">
        <f>R178/(R178+$N$6)</f>
        <v>0.69666295470957651</v>
      </c>
      <c r="Q178" s="2">
        <f t="shared" si="8"/>
        <v>1</v>
      </c>
      <c r="R178" s="2">
        <f>O177+$N$5</f>
        <v>0.22966629547095768</v>
      </c>
    </row>
    <row r="179" spans="5:18" x14ac:dyDescent="0.4">
      <c r="E179">
        <v>10.450000000000014</v>
      </c>
      <c r="F179">
        <v>10.419098300562519</v>
      </c>
      <c r="G179">
        <v>0.61803398874989479</v>
      </c>
      <c r="H179">
        <v>0.6180339887498949</v>
      </c>
      <c r="I179">
        <v>10.369098300562518</v>
      </c>
      <c r="J179">
        <v>1.6180339887498949</v>
      </c>
      <c r="L179" s="2">
        <v>169</v>
      </c>
      <c r="M179" s="2">
        <v>1</v>
      </c>
      <c r="N179" s="2">
        <f t="shared" si="6"/>
        <v>1</v>
      </c>
      <c r="O179" s="2">
        <f t="shared" si="7"/>
        <v>6.9666295470957679E-2</v>
      </c>
      <c r="P179" s="2">
        <f>R179/(R179+$N$6)</f>
        <v>0.69666295470957651</v>
      </c>
      <c r="Q179" s="2">
        <f t="shared" si="8"/>
        <v>1</v>
      </c>
      <c r="R179" s="2">
        <f>O178+$N$5</f>
        <v>0.22966629547095768</v>
      </c>
    </row>
    <row r="180" spans="5:18" x14ac:dyDescent="0.4">
      <c r="E180">
        <v>10.500000000000014</v>
      </c>
      <c r="F180">
        <v>10.46909830056252</v>
      </c>
      <c r="G180">
        <v>0.61803398874989479</v>
      </c>
      <c r="H180">
        <v>0.6180339887498949</v>
      </c>
      <c r="I180">
        <v>10.419098300562519</v>
      </c>
      <c r="J180">
        <v>1.6180339887498949</v>
      </c>
      <c r="L180" s="2">
        <v>170</v>
      </c>
      <c r="M180" s="2">
        <v>1</v>
      </c>
      <c r="N180" s="2">
        <f t="shared" si="6"/>
        <v>1</v>
      </c>
      <c r="O180" s="2">
        <f t="shared" si="7"/>
        <v>6.9666295470957679E-2</v>
      </c>
      <c r="P180" s="2">
        <f>R180/(R180+$N$6)</f>
        <v>0.69666295470957651</v>
      </c>
      <c r="Q180" s="2">
        <f t="shared" si="8"/>
        <v>1</v>
      </c>
      <c r="R180" s="2">
        <f>O179+$N$5</f>
        <v>0.22966629547095768</v>
      </c>
    </row>
    <row r="181" spans="5:18" x14ac:dyDescent="0.4">
      <c r="E181">
        <v>10.550000000000015</v>
      </c>
      <c r="F181">
        <v>10.519098300562518</v>
      </c>
      <c r="G181">
        <v>0.61803398874989479</v>
      </c>
      <c r="H181">
        <v>0.6180339887498949</v>
      </c>
      <c r="I181">
        <v>10.46909830056252</v>
      </c>
      <c r="J181">
        <v>1.6180339887498949</v>
      </c>
      <c r="L181" s="2">
        <v>171</v>
      </c>
      <c r="M181" s="2">
        <v>1</v>
      </c>
      <c r="N181" s="2">
        <f t="shared" si="6"/>
        <v>1</v>
      </c>
      <c r="O181" s="2">
        <f t="shared" si="7"/>
        <v>6.9666295470957679E-2</v>
      </c>
      <c r="P181" s="2">
        <f>R181/(R181+$N$6)</f>
        <v>0.69666295470957651</v>
      </c>
      <c r="Q181" s="2">
        <f t="shared" si="8"/>
        <v>1</v>
      </c>
      <c r="R181" s="2">
        <f>O180+$N$5</f>
        <v>0.22966629547095768</v>
      </c>
    </row>
    <row r="182" spans="5:18" x14ac:dyDescent="0.4">
      <c r="E182">
        <v>10.600000000000016</v>
      </c>
      <c r="F182">
        <v>10.569098300562519</v>
      </c>
      <c r="G182">
        <v>0.61803398874989479</v>
      </c>
      <c r="H182">
        <v>0.6180339887498949</v>
      </c>
      <c r="I182">
        <v>10.519098300562518</v>
      </c>
      <c r="J182">
        <v>1.6180339887498949</v>
      </c>
      <c r="L182" s="2">
        <v>172</v>
      </c>
      <c r="M182" s="2">
        <v>1</v>
      </c>
      <c r="N182" s="2">
        <f t="shared" si="6"/>
        <v>1</v>
      </c>
      <c r="O182" s="2">
        <f t="shared" si="7"/>
        <v>6.9666295470957679E-2</v>
      </c>
      <c r="P182" s="2">
        <f>R182/(R182+$N$6)</f>
        <v>0.69666295470957651</v>
      </c>
      <c r="Q182" s="2">
        <f t="shared" si="8"/>
        <v>1</v>
      </c>
      <c r="R182" s="2">
        <f>O181+$N$5</f>
        <v>0.22966629547095768</v>
      </c>
    </row>
    <row r="183" spans="5:18" x14ac:dyDescent="0.4">
      <c r="E183">
        <v>10.650000000000016</v>
      </c>
      <c r="F183">
        <v>10.61909830056252</v>
      </c>
      <c r="G183">
        <v>0.61803398874989479</v>
      </c>
      <c r="H183">
        <v>0.6180339887498949</v>
      </c>
      <c r="I183">
        <v>10.569098300562519</v>
      </c>
      <c r="J183">
        <v>1.6180339887498949</v>
      </c>
      <c r="L183" s="2">
        <v>173</v>
      </c>
      <c r="M183" s="2">
        <v>1</v>
      </c>
      <c r="N183" s="2">
        <f t="shared" si="6"/>
        <v>1</v>
      </c>
      <c r="O183" s="2">
        <f t="shared" si="7"/>
        <v>6.9666295470957679E-2</v>
      </c>
      <c r="P183" s="2">
        <f>R183/(R183+$N$6)</f>
        <v>0.69666295470957651</v>
      </c>
      <c r="Q183" s="2">
        <f t="shared" si="8"/>
        <v>1</v>
      </c>
      <c r="R183" s="2">
        <f>O182+$N$5</f>
        <v>0.22966629547095768</v>
      </c>
    </row>
    <row r="184" spans="5:18" x14ac:dyDescent="0.4">
      <c r="E184">
        <v>10.700000000000017</v>
      </c>
      <c r="F184">
        <v>10.669098300562521</v>
      </c>
      <c r="G184">
        <v>0.61803398874989479</v>
      </c>
      <c r="H184">
        <v>0.6180339887498949</v>
      </c>
      <c r="I184">
        <v>10.61909830056252</v>
      </c>
      <c r="J184">
        <v>1.6180339887498949</v>
      </c>
      <c r="L184" s="2">
        <v>174</v>
      </c>
      <c r="M184" s="2">
        <v>1</v>
      </c>
      <c r="N184" s="2">
        <f t="shared" si="6"/>
        <v>1</v>
      </c>
      <c r="O184" s="2">
        <f t="shared" si="7"/>
        <v>6.9666295470957679E-2</v>
      </c>
      <c r="P184" s="2">
        <f>R184/(R184+$N$6)</f>
        <v>0.69666295470957651</v>
      </c>
      <c r="Q184" s="2">
        <f t="shared" si="8"/>
        <v>1</v>
      </c>
      <c r="R184" s="2">
        <f>O183+$N$5</f>
        <v>0.22966629547095768</v>
      </c>
    </row>
    <row r="185" spans="5:18" x14ac:dyDescent="0.4">
      <c r="E185">
        <v>10.750000000000018</v>
      </c>
      <c r="F185">
        <v>10.719098300562521</v>
      </c>
      <c r="G185">
        <v>0.61803398874989479</v>
      </c>
      <c r="H185">
        <v>0.6180339887498949</v>
      </c>
      <c r="I185">
        <v>10.669098300562521</v>
      </c>
      <c r="J185">
        <v>1.6180339887498949</v>
      </c>
      <c r="L185" s="2">
        <v>175</v>
      </c>
      <c r="M185" s="2">
        <v>1</v>
      </c>
      <c r="N185" s="2">
        <f t="shared" si="6"/>
        <v>1</v>
      </c>
      <c r="O185" s="2">
        <f t="shared" si="7"/>
        <v>6.9666295470957679E-2</v>
      </c>
      <c r="P185" s="2">
        <f>R185/(R185+$N$6)</f>
        <v>0.69666295470957651</v>
      </c>
      <c r="Q185" s="2">
        <f t="shared" si="8"/>
        <v>1</v>
      </c>
      <c r="R185" s="2">
        <f>O184+$N$5</f>
        <v>0.22966629547095768</v>
      </c>
    </row>
    <row r="186" spans="5:18" x14ac:dyDescent="0.4">
      <c r="E186">
        <v>10.800000000000018</v>
      </c>
      <c r="F186">
        <v>10.769098300562522</v>
      </c>
      <c r="G186">
        <v>0.61803398874989479</v>
      </c>
      <c r="H186">
        <v>0.6180339887498949</v>
      </c>
      <c r="I186">
        <v>10.719098300562521</v>
      </c>
      <c r="J186">
        <v>1.6180339887498949</v>
      </c>
      <c r="L186" s="2">
        <v>176</v>
      </c>
      <c r="M186" s="2">
        <v>1</v>
      </c>
      <c r="N186" s="2">
        <f t="shared" si="6"/>
        <v>1</v>
      </c>
      <c r="O186" s="2">
        <f t="shared" si="7"/>
        <v>6.9666295470957679E-2</v>
      </c>
      <c r="P186" s="2">
        <f>R186/(R186+$N$6)</f>
        <v>0.69666295470957651</v>
      </c>
      <c r="Q186" s="2">
        <f t="shared" si="8"/>
        <v>1</v>
      </c>
      <c r="R186" s="2">
        <f>O185+$N$5</f>
        <v>0.22966629547095768</v>
      </c>
    </row>
    <row r="187" spans="5:18" x14ac:dyDescent="0.4">
      <c r="E187">
        <v>10.850000000000019</v>
      </c>
      <c r="F187">
        <v>10.819098300562523</v>
      </c>
      <c r="G187">
        <v>0.61803398874989479</v>
      </c>
      <c r="H187">
        <v>0.6180339887498949</v>
      </c>
      <c r="I187">
        <v>10.769098300562522</v>
      </c>
      <c r="J187">
        <v>1.6180339887498949</v>
      </c>
      <c r="L187" s="2">
        <v>177</v>
      </c>
      <c r="M187" s="2">
        <v>1</v>
      </c>
      <c r="N187" s="2">
        <f t="shared" si="6"/>
        <v>1</v>
      </c>
      <c r="O187" s="2">
        <f t="shared" si="7"/>
        <v>6.9666295470957679E-2</v>
      </c>
      <c r="P187" s="2">
        <f>R187/(R187+$N$6)</f>
        <v>0.69666295470957651</v>
      </c>
      <c r="Q187" s="2">
        <f t="shared" si="8"/>
        <v>1</v>
      </c>
      <c r="R187" s="2">
        <f>O186+$N$5</f>
        <v>0.22966629547095768</v>
      </c>
    </row>
    <row r="188" spans="5:18" x14ac:dyDescent="0.4">
      <c r="E188">
        <v>10.90000000000002</v>
      </c>
      <c r="F188">
        <v>10.869098300562523</v>
      </c>
      <c r="G188">
        <v>0.61803398874989479</v>
      </c>
      <c r="H188">
        <v>0.6180339887498949</v>
      </c>
      <c r="I188">
        <v>10.819098300562523</v>
      </c>
      <c r="J188">
        <v>1.6180339887498949</v>
      </c>
      <c r="L188" s="2">
        <v>178</v>
      </c>
      <c r="M188" s="2">
        <v>1</v>
      </c>
      <c r="N188" s="2">
        <f t="shared" si="6"/>
        <v>1</v>
      </c>
      <c r="O188" s="2">
        <f t="shared" si="7"/>
        <v>6.9666295470957679E-2</v>
      </c>
      <c r="P188" s="2">
        <f>R188/(R188+$N$6)</f>
        <v>0.69666295470957651</v>
      </c>
      <c r="Q188" s="2">
        <f t="shared" si="8"/>
        <v>1</v>
      </c>
      <c r="R188" s="2">
        <f>O187+$N$5</f>
        <v>0.22966629547095768</v>
      </c>
    </row>
    <row r="189" spans="5:18" x14ac:dyDescent="0.4">
      <c r="E189">
        <v>10.950000000000021</v>
      </c>
      <c r="F189">
        <v>10.919098300562524</v>
      </c>
      <c r="G189">
        <v>0.61803398874989479</v>
      </c>
      <c r="H189">
        <v>0.6180339887498949</v>
      </c>
      <c r="I189">
        <v>10.869098300562523</v>
      </c>
      <c r="J189">
        <v>1.6180339887498949</v>
      </c>
      <c r="L189" s="2">
        <v>179</v>
      </c>
      <c r="M189" s="2">
        <v>1</v>
      </c>
      <c r="N189" s="2">
        <f t="shared" si="6"/>
        <v>1</v>
      </c>
      <c r="O189" s="2">
        <f t="shared" si="7"/>
        <v>6.9666295470957679E-2</v>
      </c>
      <c r="P189" s="2">
        <f>R189/(R189+$N$6)</f>
        <v>0.69666295470957651</v>
      </c>
      <c r="Q189" s="2">
        <f t="shared" si="8"/>
        <v>1</v>
      </c>
      <c r="R189" s="2">
        <f>O188+$N$5</f>
        <v>0.22966629547095768</v>
      </c>
    </row>
    <row r="190" spans="5:18" x14ac:dyDescent="0.4">
      <c r="E190">
        <v>11.000000000000021</v>
      </c>
      <c r="F190">
        <v>10.969098300562525</v>
      </c>
      <c r="G190">
        <v>0.61803398874989479</v>
      </c>
      <c r="H190">
        <v>0.6180339887498949</v>
      </c>
      <c r="I190">
        <v>10.919098300562524</v>
      </c>
      <c r="J190">
        <v>1.6180339887498949</v>
      </c>
      <c r="L190" s="2">
        <v>180</v>
      </c>
      <c r="M190" s="2">
        <v>1</v>
      </c>
      <c r="N190" s="2">
        <f t="shared" si="6"/>
        <v>1</v>
      </c>
      <c r="O190" s="2">
        <f t="shared" si="7"/>
        <v>6.9666295470957679E-2</v>
      </c>
      <c r="P190" s="2">
        <f>R190/(R190+$N$6)</f>
        <v>0.69666295470957651</v>
      </c>
      <c r="Q190" s="2">
        <f t="shared" si="8"/>
        <v>1</v>
      </c>
      <c r="R190" s="2">
        <f>O189+$N$5</f>
        <v>0.22966629547095768</v>
      </c>
    </row>
    <row r="191" spans="5:18" x14ac:dyDescent="0.4">
      <c r="E191">
        <v>11.050000000000022</v>
      </c>
      <c r="F191">
        <v>11.019098300562526</v>
      </c>
      <c r="G191">
        <v>0.61803398874989479</v>
      </c>
      <c r="H191">
        <v>0.6180339887498949</v>
      </c>
      <c r="I191">
        <v>10.969098300562525</v>
      </c>
      <c r="J191">
        <v>1.6180339887498949</v>
      </c>
      <c r="L191" s="2">
        <v>181</v>
      </c>
      <c r="M191" s="2">
        <v>1</v>
      </c>
      <c r="N191" s="2">
        <f t="shared" si="6"/>
        <v>1</v>
      </c>
      <c r="O191" s="2">
        <f t="shared" si="7"/>
        <v>6.9666295470957679E-2</v>
      </c>
      <c r="P191" s="2">
        <f>R191/(R191+$N$6)</f>
        <v>0.69666295470957651</v>
      </c>
      <c r="Q191" s="2">
        <f t="shared" si="8"/>
        <v>1</v>
      </c>
      <c r="R191" s="2">
        <f>O190+$N$5</f>
        <v>0.22966629547095768</v>
      </c>
    </row>
    <row r="192" spans="5:18" x14ac:dyDescent="0.4">
      <c r="E192">
        <v>11.100000000000023</v>
      </c>
      <c r="F192">
        <v>11.069098300562526</v>
      </c>
      <c r="G192">
        <v>0.61803398874989479</v>
      </c>
      <c r="H192">
        <v>0.6180339887498949</v>
      </c>
      <c r="I192">
        <v>11.019098300562526</v>
      </c>
      <c r="J192">
        <v>1.6180339887498949</v>
      </c>
      <c r="L192" s="2">
        <v>182</v>
      </c>
      <c r="M192" s="2">
        <v>1</v>
      </c>
      <c r="N192" s="2">
        <f t="shared" si="6"/>
        <v>1</v>
      </c>
      <c r="O192" s="2">
        <f t="shared" si="7"/>
        <v>6.9666295470957679E-2</v>
      </c>
      <c r="P192" s="2">
        <f>R192/(R192+$N$6)</f>
        <v>0.69666295470957651</v>
      </c>
      <c r="Q192" s="2">
        <f t="shared" si="8"/>
        <v>1</v>
      </c>
      <c r="R192" s="2">
        <f>O191+$N$5</f>
        <v>0.22966629547095768</v>
      </c>
    </row>
    <row r="193" spans="5:18" x14ac:dyDescent="0.4">
      <c r="E193">
        <v>11.150000000000023</v>
      </c>
      <c r="F193">
        <v>11.119098300562527</v>
      </c>
      <c r="G193">
        <v>0.61803398874989479</v>
      </c>
      <c r="H193">
        <v>0.6180339887498949</v>
      </c>
      <c r="I193">
        <v>11.069098300562526</v>
      </c>
      <c r="J193">
        <v>1.6180339887498949</v>
      </c>
      <c r="L193" s="2">
        <v>183</v>
      </c>
      <c r="M193" s="2">
        <v>1</v>
      </c>
      <c r="N193" s="2">
        <f t="shared" si="6"/>
        <v>1</v>
      </c>
      <c r="O193" s="2">
        <f t="shared" si="7"/>
        <v>6.9666295470957679E-2</v>
      </c>
      <c r="P193" s="2">
        <f>R193/(R193+$N$6)</f>
        <v>0.69666295470957651</v>
      </c>
      <c r="Q193" s="2">
        <f t="shared" si="8"/>
        <v>1</v>
      </c>
      <c r="R193" s="2">
        <f>O192+$N$5</f>
        <v>0.22966629547095768</v>
      </c>
    </row>
    <row r="194" spans="5:18" x14ac:dyDescent="0.4">
      <c r="E194">
        <v>11.200000000000024</v>
      </c>
      <c r="F194">
        <v>11.169098300562528</v>
      </c>
      <c r="G194">
        <v>0.61803398874989479</v>
      </c>
      <c r="H194">
        <v>0.6180339887498949</v>
      </c>
      <c r="I194">
        <v>11.119098300562527</v>
      </c>
      <c r="J194">
        <v>1.6180339887498949</v>
      </c>
      <c r="L194" s="2">
        <v>184</v>
      </c>
      <c r="M194" s="2">
        <v>1</v>
      </c>
      <c r="N194" s="2">
        <f t="shared" si="6"/>
        <v>1</v>
      </c>
      <c r="O194" s="2">
        <f t="shared" si="7"/>
        <v>6.9666295470957679E-2</v>
      </c>
      <c r="P194" s="2">
        <f>R194/(R194+$N$6)</f>
        <v>0.69666295470957651</v>
      </c>
      <c r="Q194" s="2">
        <f t="shared" si="8"/>
        <v>1</v>
      </c>
      <c r="R194" s="2">
        <f>O193+$N$5</f>
        <v>0.22966629547095768</v>
      </c>
    </row>
    <row r="195" spans="5:18" x14ac:dyDescent="0.4">
      <c r="E195">
        <v>11.250000000000025</v>
      </c>
      <c r="F195">
        <v>11.219098300562528</v>
      </c>
      <c r="G195">
        <v>0.61803398874989479</v>
      </c>
      <c r="H195">
        <v>0.6180339887498949</v>
      </c>
      <c r="I195">
        <v>11.169098300562528</v>
      </c>
      <c r="J195">
        <v>1.6180339887498949</v>
      </c>
      <c r="L195" s="2">
        <v>185</v>
      </c>
      <c r="M195" s="2">
        <v>1</v>
      </c>
      <c r="N195" s="2">
        <f t="shared" si="6"/>
        <v>1</v>
      </c>
      <c r="O195" s="2">
        <f t="shared" si="7"/>
        <v>6.9666295470957679E-2</v>
      </c>
      <c r="P195" s="2">
        <f>R195/(R195+$N$6)</f>
        <v>0.69666295470957651</v>
      </c>
      <c r="Q195" s="2">
        <f t="shared" si="8"/>
        <v>1</v>
      </c>
      <c r="R195" s="2">
        <f>O194+$N$5</f>
        <v>0.22966629547095768</v>
      </c>
    </row>
    <row r="196" spans="5:18" x14ac:dyDescent="0.4">
      <c r="E196">
        <v>11.300000000000026</v>
      </c>
      <c r="F196">
        <v>11.269098300562529</v>
      </c>
      <c r="G196">
        <v>0.61803398874989479</v>
      </c>
      <c r="H196">
        <v>0.6180339887498949</v>
      </c>
      <c r="I196">
        <v>11.219098300562528</v>
      </c>
      <c r="J196">
        <v>1.6180339887498949</v>
      </c>
      <c r="L196" s="2">
        <v>186</v>
      </c>
      <c r="M196" s="2">
        <v>1</v>
      </c>
      <c r="N196" s="2">
        <f t="shared" si="6"/>
        <v>1</v>
      </c>
      <c r="O196" s="2">
        <f t="shared" si="7"/>
        <v>6.9666295470957679E-2</v>
      </c>
      <c r="P196" s="2">
        <f>R196/(R196+$N$6)</f>
        <v>0.69666295470957651</v>
      </c>
      <c r="Q196" s="2">
        <f t="shared" si="8"/>
        <v>1</v>
      </c>
      <c r="R196" s="2">
        <f>O195+$N$5</f>
        <v>0.22966629547095768</v>
      </c>
    </row>
    <row r="197" spans="5:18" x14ac:dyDescent="0.4">
      <c r="E197">
        <v>11.350000000000026</v>
      </c>
      <c r="F197">
        <v>11.31909830056253</v>
      </c>
      <c r="G197">
        <v>0.61803398874989479</v>
      </c>
      <c r="H197">
        <v>0.6180339887498949</v>
      </c>
      <c r="I197">
        <v>11.269098300562529</v>
      </c>
      <c r="J197">
        <v>1.6180339887498949</v>
      </c>
      <c r="L197" s="2">
        <v>187</v>
      </c>
      <c r="M197" s="2">
        <v>1</v>
      </c>
      <c r="N197" s="2">
        <f t="shared" si="6"/>
        <v>1</v>
      </c>
      <c r="O197" s="2">
        <f t="shared" si="7"/>
        <v>6.9666295470957679E-2</v>
      </c>
      <c r="P197" s="2">
        <f>R197/(R197+$N$6)</f>
        <v>0.69666295470957651</v>
      </c>
      <c r="Q197" s="2">
        <f t="shared" si="8"/>
        <v>1</v>
      </c>
      <c r="R197" s="2">
        <f>O196+$N$5</f>
        <v>0.22966629547095768</v>
      </c>
    </row>
    <row r="198" spans="5:18" x14ac:dyDescent="0.4">
      <c r="E198">
        <v>11.400000000000027</v>
      </c>
      <c r="F198">
        <v>11.369098300562531</v>
      </c>
      <c r="G198">
        <v>0.61803398874989479</v>
      </c>
      <c r="H198">
        <v>0.6180339887498949</v>
      </c>
      <c r="I198">
        <v>11.31909830056253</v>
      </c>
      <c r="J198">
        <v>1.6180339887498949</v>
      </c>
      <c r="L198" s="2">
        <v>188</v>
      </c>
      <c r="M198" s="2">
        <v>1</v>
      </c>
      <c r="N198" s="2">
        <f t="shared" si="6"/>
        <v>1</v>
      </c>
      <c r="O198" s="2">
        <f t="shared" si="7"/>
        <v>6.9666295470957679E-2</v>
      </c>
      <c r="P198" s="2">
        <f>R198/(R198+$N$6)</f>
        <v>0.69666295470957651</v>
      </c>
      <c r="Q198" s="2">
        <f t="shared" si="8"/>
        <v>1</v>
      </c>
      <c r="R198" s="2">
        <f>O197+$N$5</f>
        <v>0.22966629547095768</v>
      </c>
    </row>
    <row r="199" spans="5:18" x14ac:dyDescent="0.4">
      <c r="E199">
        <v>11.450000000000028</v>
      </c>
      <c r="F199">
        <v>11.419098300562531</v>
      </c>
      <c r="G199">
        <v>0.61803398874989479</v>
      </c>
      <c r="H199">
        <v>0.6180339887498949</v>
      </c>
      <c r="I199">
        <v>11.369098300562531</v>
      </c>
      <c r="J199">
        <v>1.6180339887498949</v>
      </c>
      <c r="L199" s="2">
        <v>189</v>
      </c>
      <c r="M199" s="2">
        <v>1</v>
      </c>
      <c r="N199" s="2">
        <f t="shared" si="6"/>
        <v>1</v>
      </c>
      <c r="O199" s="2">
        <f t="shared" si="7"/>
        <v>6.9666295470957679E-2</v>
      </c>
      <c r="P199" s="2">
        <f>R199/(R199+$N$6)</f>
        <v>0.69666295470957651</v>
      </c>
      <c r="Q199" s="2">
        <f t="shared" si="8"/>
        <v>1</v>
      </c>
      <c r="R199" s="2">
        <f>O198+$N$5</f>
        <v>0.22966629547095768</v>
      </c>
    </row>
    <row r="200" spans="5:18" x14ac:dyDescent="0.4">
      <c r="E200">
        <v>11.500000000000028</v>
      </c>
      <c r="F200">
        <v>11.469098300562532</v>
      </c>
      <c r="G200">
        <v>0.61803398874989479</v>
      </c>
      <c r="H200">
        <v>0.6180339887498949</v>
      </c>
      <c r="I200">
        <v>11.419098300562531</v>
      </c>
      <c r="J200">
        <v>1.6180339887498949</v>
      </c>
      <c r="L200" s="2">
        <v>190</v>
      </c>
      <c r="M200" s="2">
        <v>1</v>
      </c>
      <c r="N200" s="2">
        <f t="shared" si="6"/>
        <v>1</v>
      </c>
      <c r="O200" s="2">
        <f t="shared" si="7"/>
        <v>6.9666295470957679E-2</v>
      </c>
      <c r="P200" s="2">
        <f>R200/(R200+$N$6)</f>
        <v>0.69666295470957651</v>
      </c>
      <c r="Q200" s="2">
        <f t="shared" si="8"/>
        <v>1</v>
      </c>
      <c r="R200" s="2">
        <f>O199+$N$5</f>
        <v>0.22966629547095768</v>
      </c>
    </row>
    <row r="201" spans="5:18" x14ac:dyDescent="0.4">
      <c r="E201">
        <v>11.550000000000029</v>
      </c>
      <c r="F201">
        <v>11.519098300562533</v>
      </c>
      <c r="G201">
        <v>0.61803398874989479</v>
      </c>
      <c r="H201">
        <v>0.6180339887498949</v>
      </c>
      <c r="I201">
        <v>11.469098300562532</v>
      </c>
      <c r="J201">
        <v>1.6180339887498949</v>
      </c>
      <c r="L201" s="2">
        <v>191</v>
      </c>
      <c r="M201" s="2">
        <v>1</v>
      </c>
      <c r="N201" s="2">
        <f t="shared" si="6"/>
        <v>1</v>
      </c>
      <c r="O201" s="2">
        <f t="shared" si="7"/>
        <v>6.9666295470957679E-2</v>
      </c>
      <c r="P201" s="2">
        <f>R201/(R201+$N$6)</f>
        <v>0.69666295470957651</v>
      </c>
      <c r="Q201" s="2">
        <f t="shared" si="8"/>
        <v>1</v>
      </c>
      <c r="R201" s="2">
        <f>O200+$N$5</f>
        <v>0.22966629547095768</v>
      </c>
    </row>
    <row r="202" spans="5:18" x14ac:dyDescent="0.4">
      <c r="E202">
        <v>11.60000000000003</v>
      </c>
      <c r="F202">
        <v>11.569098300562533</v>
      </c>
      <c r="G202">
        <v>0.61803398874989479</v>
      </c>
      <c r="H202">
        <v>0.6180339887498949</v>
      </c>
      <c r="I202">
        <v>11.519098300562533</v>
      </c>
      <c r="J202">
        <v>1.6180339887498949</v>
      </c>
      <c r="L202" s="2">
        <v>192</v>
      </c>
      <c r="M202" s="2">
        <v>1</v>
      </c>
      <c r="N202" s="2">
        <f t="shared" si="6"/>
        <v>1</v>
      </c>
      <c r="O202" s="2">
        <f t="shared" si="7"/>
        <v>6.9666295470957679E-2</v>
      </c>
      <c r="P202" s="2">
        <f>R202/(R202+$N$6)</f>
        <v>0.69666295470957651</v>
      </c>
      <c r="Q202" s="2">
        <f t="shared" si="8"/>
        <v>1</v>
      </c>
      <c r="R202" s="2">
        <f>O201+$N$5</f>
        <v>0.22966629547095768</v>
      </c>
    </row>
    <row r="203" spans="5:18" x14ac:dyDescent="0.4">
      <c r="E203">
        <v>11.650000000000031</v>
      </c>
      <c r="F203">
        <v>11.619098300562534</v>
      </c>
      <c r="G203">
        <v>0.61803398874989479</v>
      </c>
      <c r="H203">
        <v>0.6180339887498949</v>
      </c>
      <c r="I203">
        <v>11.569098300562533</v>
      </c>
      <c r="J203">
        <v>1.6180339887498949</v>
      </c>
      <c r="L203" s="2">
        <v>193</v>
      </c>
      <c r="M203" s="2">
        <v>1</v>
      </c>
      <c r="N203" s="2">
        <f t="shared" si="6"/>
        <v>1</v>
      </c>
      <c r="O203" s="2">
        <f t="shared" si="7"/>
        <v>6.9666295470957679E-2</v>
      </c>
      <c r="P203" s="2">
        <f>R203/(R203+$N$6)</f>
        <v>0.69666295470957651</v>
      </c>
      <c r="Q203" s="2">
        <f t="shared" si="8"/>
        <v>1</v>
      </c>
      <c r="R203" s="2">
        <f>O202+$N$5</f>
        <v>0.22966629547095768</v>
      </c>
    </row>
    <row r="204" spans="5:18" x14ac:dyDescent="0.4">
      <c r="E204">
        <v>11.700000000000031</v>
      </c>
      <c r="F204">
        <v>11.669098300562535</v>
      </c>
      <c r="G204">
        <v>0.61803398874989479</v>
      </c>
      <c r="H204">
        <v>0.6180339887498949</v>
      </c>
      <c r="I204">
        <v>11.619098300562534</v>
      </c>
      <c r="J204">
        <v>1.6180339887498949</v>
      </c>
      <c r="L204" s="2">
        <v>194</v>
      </c>
      <c r="M204" s="2">
        <v>1</v>
      </c>
      <c r="N204" s="2">
        <f t="shared" si="6"/>
        <v>1</v>
      </c>
      <c r="O204" s="2">
        <f t="shared" si="7"/>
        <v>6.9666295470957679E-2</v>
      </c>
      <c r="P204" s="2">
        <f>R204/(R204+$N$6)</f>
        <v>0.69666295470957651</v>
      </c>
      <c r="Q204" s="2">
        <f t="shared" si="8"/>
        <v>1</v>
      </c>
      <c r="R204" s="2">
        <f>O203+$N$5</f>
        <v>0.22966629547095768</v>
      </c>
    </row>
    <row r="205" spans="5:18" x14ac:dyDescent="0.4">
      <c r="E205">
        <v>11.750000000000032</v>
      </c>
      <c r="F205">
        <v>11.719098300562536</v>
      </c>
      <c r="G205">
        <v>0.61803398874989479</v>
      </c>
      <c r="H205">
        <v>0.6180339887498949</v>
      </c>
      <c r="I205">
        <v>11.669098300562535</v>
      </c>
      <c r="J205">
        <v>1.6180339887498949</v>
      </c>
      <c r="L205" s="2">
        <v>195</v>
      </c>
      <c r="M205" s="2">
        <v>1</v>
      </c>
      <c r="N205" s="2">
        <f t="shared" ref="N205:N210" si="9">(1-P205)*Q205+P205*M205</f>
        <v>1</v>
      </c>
      <c r="O205" s="2">
        <f t="shared" ref="O205:O210" si="10">(1-P205)*R205</f>
        <v>6.9666295470957679E-2</v>
      </c>
      <c r="P205" s="2">
        <f>R205/(R205+$N$6)</f>
        <v>0.69666295470957651</v>
      </c>
      <c r="Q205" s="2">
        <f t="shared" ref="Q205:Q210" si="11">N204</f>
        <v>1</v>
      </c>
      <c r="R205" s="2">
        <f>O204+$N$5</f>
        <v>0.22966629547095768</v>
      </c>
    </row>
    <row r="206" spans="5:18" x14ac:dyDescent="0.4">
      <c r="E206">
        <v>11.800000000000033</v>
      </c>
      <c r="F206">
        <v>11.769098300562536</v>
      </c>
      <c r="G206">
        <v>0.61803398874989479</v>
      </c>
      <c r="H206">
        <v>0.6180339887498949</v>
      </c>
      <c r="I206">
        <v>11.719098300562536</v>
      </c>
      <c r="J206">
        <v>1.6180339887498949</v>
      </c>
      <c r="L206" s="2">
        <v>196</v>
      </c>
      <c r="M206" s="2">
        <v>1</v>
      </c>
      <c r="N206" s="2">
        <f t="shared" si="9"/>
        <v>1</v>
      </c>
      <c r="O206" s="2">
        <f t="shared" si="10"/>
        <v>6.9666295470957679E-2</v>
      </c>
      <c r="P206" s="2">
        <f>R206/(R206+$N$6)</f>
        <v>0.69666295470957651</v>
      </c>
      <c r="Q206" s="2">
        <f t="shared" si="11"/>
        <v>1</v>
      </c>
      <c r="R206" s="2">
        <f>O205+$N$5</f>
        <v>0.22966629547095768</v>
      </c>
    </row>
    <row r="207" spans="5:18" x14ac:dyDescent="0.4">
      <c r="E207">
        <v>11.850000000000033</v>
      </c>
      <c r="F207">
        <v>11.819098300562537</v>
      </c>
      <c r="G207">
        <v>0.61803398874989479</v>
      </c>
      <c r="H207">
        <v>0.6180339887498949</v>
      </c>
      <c r="I207">
        <v>11.769098300562536</v>
      </c>
      <c r="J207">
        <v>1.6180339887498949</v>
      </c>
      <c r="L207" s="2">
        <v>197</v>
      </c>
      <c r="M207" s="2">
        <v>1</v>
      </c>
      <c r="N207" s="2">
        <f t="shared" si="9"/>
        <v>1</v>
      </c>
      <c r="O207" s="2">
        <f t="shared" si="10"/>
        <v>6.9666295470957679E-2</v>
      </c>
      <c r="P207" s="2">
        <f>R207/(R207+$N$6)</f>
        <v>0.69666295470957651</v>
      </c>
      <c r="Q207" s="2">
        <f t="shared" si="11"/>
        <v>1</v>
      </c>
      <c r="R207" s="2">
        <f>O206+$N$5</f>
        <v>0.22966629547095768</v>
      </c>
    </row>
    <row r="208" spans="5:18" x14ac:dyDescent="0.4">
      <c r="E208">
        <v>11.900000000000034</v>
      </c>
      <c r="F208">
        <v>11.869098300562538</v>
      </c>
      <c r="G208">
        <v>0.61803398874989479</v>
      </c>
      <c r="H208">
        <v>0.6180339887498949</v>
      </c>
      <c r="I208">
        <v>11.819098300562537</v>
      </c>
      <c r="J208">
        <v>1.6180339887498949</v>
      </c>
      <c r="L208" s="2">
        <v>198</v>
      </c>
      <c r="M208" s="2">
        <v>1</v>
      </c>
      <c r="N208" s="2">
        <f t="shared" si="9"/>
        <v>1</v>
      </c>
      <c r="O208" s="2">
        <f t="shared" si="10"/>
        <v>6.9666295470957679E-2</v>
      </c>
      <c r="P208" s="2">
        <f>R208/(R208+$N$6)</f>
        <v>0.69666295470957651</v>
      </c>
      <c r="Q208" s="2">
        <f t="shared" si="11"/>
        <v>1</v>
      </c>
      <c r="R208" s="2">
        <f>O207+$N$5</f>
        <v>0.22966629547095768</v>
      </c>
    </row>
    <row r="209" spans="5:18" x14ac:dyDescent="0.4">
      <c r="E209">
        <v>11.950000000000035</v>
      </c>
      <c r="F209">
        <v>11.919098300562538</v>
      </c>
      <c r="G209">
        <v>0.61803398874989479</v>
      </c>
      <c r="H209">
        <v>0.6180339887498949</v>
      </c>
      <c r="I209">
        <v>11.869098300562538</v>
      </c>
      <c r="J209">
        <v>1.6180339887498949</v>
      </c>
      <c r="L209" s="2">
        <v>199</v>
      </c>
      <c r="M209" s="2">
        <v>1</v>
      </c>
      <c r="N209" s="2">
        <f t="shared" si="9"/>
        <v>1</v>
      </c>
      <c r="O209" s="2">
        <f t="shared" si="10"/>
        <v>6.9666295470957679E-2</v>
      </c>
      <c r="P209" s="2">
        <f>R209/(R209+$N$6)</f>
        <v>0.69666295470957651</v>
      </c>
      <c r="Q209" s="2">
        <f t="shared" si="11"/>
        <v>1</v>
      </c>
      <c r="R209" s="2">
        <f>O208+$N$5</f>
        <v>0.22966629547095768</v>
      </c>
    </row>
    <row r="210" spans="5:18" x14ac:dyDescent="0.4">
      <c r="E210">
        <v>12.000000000000036</v>
      </c>
      <c r="F210">
        <v>11.969098300562539</v>
      </c>
      <c r="G210">
        <v>0.61803398874989479</v>
      </c>
      <c r="H210">
        <v>0.6180339887498949</v>
      </c>
      <c r="I210">
        <v>11.919098300562538</v>
      </c>
      <c r="J210">
        <v>1.6180339887498949</v>
      </c>
      <c r="L210" s="2">
        <v>200</v>
      </c>
      <c r="M210" s="2">
        <v>1</v>
      </c>
      <c r="N210" s="2">
        <f t="shared" si="9"/>
        <v>1</v>
      </c>
      <c r="O210" s="2">
        <f t="shared" si="10"/>
        <v>6.9666295470957679E-2</v>
      </c>
      <c r="P210" s="2">
        <f>R210/(R210+$N$6)</f>
        <v>0.69666295470957651</v>
      </c>
      <c r="Q210" s="2">
        <f t="shared" si="11"/>
        <v>1</v>
      </c>
      <c r="R210" s="2">
        <f>O209+$N$5</f>
        <v>0.22966629547095768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kalman">
                <anchor moveWithCells="1" sizeWithCells="1">
                  <from>
                    <xdr:col>6</xdr:col>
                    <xdr:colOff>428625</xdr:colOff>
                    <xdr:row>1</xdr:row>
                    <xdr:rowOff>142875</xdr:rowOff>
                  </from>
                  <to>
                    <xdr:col>7</xdr:col>
                    <xdr:colOff>542925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nemo</dc:creator>
  <cp:lastModifiedBy>nemo</cp:lastModifiedBy>
  <dcterms:created xsi:type="dcterms:W3CDTF">2022-07-25T13:38:06Z</dcterms:created>
  <dcterms:modified xsi:type="dcterms:W3CDTF">2022-07-25T16:15:04Z</dcterms:modified>
</cp:coreProperties>
</file>